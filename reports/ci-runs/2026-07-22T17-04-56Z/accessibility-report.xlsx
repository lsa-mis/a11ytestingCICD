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Issues Overview" state="visible" r:id="rId5"/>
    <sheet sheetId="3" name="Owner Worklist" state="visible" r:id="rId6"/>
    <sheet sheetId="4" name="Page Hotspots" state="visible" r:id="rId7"/>
    <sheet sheetId="5" name="Page References" state="visible" r:id="rId8"/>
    <sheet sheetId="6" name="Who's Affected" state="visible" r:id="rId9"/>
    <sheet sheetId="7" name="Coverage &amp; Method" state="visible" r:id="rId10"/>
    <sheet sheetId="8" name="Test Tracking" state="visible" r:id="rId11"/>
    <sheet sheetId="9" name="Manual Review Evidence" state="visible" r:id="rId12"/>
  </sheets>
  <calcPr calcId="171027" fullCalcOnLoad="1"/>
</workbook>
</file>

<file path=xl/sharedStrings.xml><?xml version="1.0" encoding="utf-8"?>
<sst xmlns="http://schemas.openxmlformats.org/spreadsheetml/2006/main" count="321" uniqueCount="235">
  <si>
    <t>Accessibility audit — /</t>
  </si>
  <si>
    <t>At-a-glance summary of this CI audit. Each rollup below has its own sheet with the detail; this is the dashboard for tracking remediation.</t>
  </si>
  <si>
    <t>Scan</t>
  </si>
  <si>
    <t>Page</t>
  </si>
  <si>
    <t>http://localhost:5173/</t>
  </si>
  <si>
    <t>Audited against</t>
  </si>
  <si>
    <t>WCAG 2.1 AA + Best Practices + ARIA</t>
  </si>
  <si>
    <t>Engine</t>
  </si>
  <si>
    <t>Siteimprove Alfa 0.118.0</t>
  </si>
  <si>
    <t>Audit date</t>
  </si>
  <si>
    <t>Issue counts</t>
  </si>
  <si>
    <t>Open issue types</t>
  </si>
  <si>
    <t>Open findings (occurrences)</t>
  </si>
  <si>
    <t>Needs human review (rule types)</t>
  </si>
  <si>
    <t>Passed rule types</t>
  </si>
  <si>
    <t>Audit outcome</t>
  </si>
  <si>
    <t>Verdict</t>
  </si>
  <si>
    <t>FAIL</t>
  </si>
  <si>
    <t>Failed occurrences</t>
  </si>
  <si>
    <t>Can't Tell occurrences</t>
  </si>
  <si>
    <t>CI context</t>
  </si>
  <si>
    <t>Branch</t>
  </si>
  <si>
    <t>8/merge</t>
  </si>
  <si>
    <t>Commit</t>
  </si>
  <si>
    <t>6f5889f0</t>
  </si>
  <si>
    <t>Workflow run</t>
  </si>
  <si>
    <t>Open workflow run</t>
  </si>
  <si>
    <t>Siteimprove report</t>
  </si>
  <si>
    <t>Not uploaded</t>
  </si>
  <si>
    <t>Page: http://localhost:5173/</t>
  </si>
  <si>
    <t>Compliance Standard: WCAG 2.1 AA + Best Practices + ARIA</t>
  </si>
  <si>
    <t>Audit Date: July 22, 2026</t>
  </si>
  <si>
    <t>Auditor: Siteimprove Alfa 0.118.0</t>
  </si>
  <si>
    <t>Prioritization Guidance — Fix failed rules before items marked Needs Review. Alfa provides rule and occurrence evidence; assign ownership, severity, and remediation details during triage.</t>
  </si>
  <si>
    <t>Issues</t>
  </si>
  <si>
    <t>Detection source</t>
  </si>
  <si>
    <t>Conformance Level</t>
  </si>
  <si>
    <t>Remediation Ownership</t>
  </si>
  <si>
    <t>Status</t>
  </si>
  <si>
    <t>What to Fix</t>
  </si>
  <si>
    <t>Page Links / Locations</t>
  </si>
  <si>
    <t>Action</t>
  </si>
  <si>
    <t>Helpful Resources</t>
  </si>
  <si>
    <t>Notes</t>
  </si>
  <si>
    <t>Evidence</t>
  </si>
  <si>
    <t>Image missing a text alternative</t>
  </si>
  <si>
    <t>Siteimprove Alfa (ACT rules)</t>
  </si>
  <si>
    <t>A/AA scope</t>
  </si>
  <si>
    <t>Unassigned</t>
  </si>
  <si>
    <t>Not Started</t>
  </si>
  <si>
    <t>Alfa returned 1 failed outcome(s) for this rule.</t>
  </si>
  <si>
    <t>1 linked page — open page</t>
  </si>
  <si>
    <t>Open the rule reference and inspect the affected target and diagnostic in the JSON report. Record the remediation owner and notes, then rerun the audit.</t>
  </si>
  <si>
    <t>https://alfa.siteimprove.com/rules/sia-r2</t>
  </si>
  <si>
    <t/>
  </si>
  <si>
    <t>1 failed</t>
  </si>
  <si>
    <t>Remediation worklist by owner</t>
  </si>
  <si>
    <t>The same open rules, re-sliced for assignment. Update Owner after triage, then filter the column to hand each team its pack.</t>
  </si>
  <si>
    <t>Owner</t>
  </si>
  <si>
    <t>Issue</t>
  </si>
  <si>
    <t>Result</t>
  </si>
  <si>
    <t>Effort</t>
  </si>
  <si>
    <t>Pages</t>
  </si>
  <si>
    <t>Rule</t>
  </si>
  <si>
    <t>Failed</t>
  </si>
  <si>
    <t>Triage required</t>
  </si>
  <si>
    <t>sia-r2</t>
  </si>
  <si>
    <t>Page hotspots</t>
  </si>
  <si>
    <t>Pages carrying failed or indeterminate outcomes. This CI audit currently runs one route per test; add routes to compare hotspots across the site.</t>
  </si>
  <si>
    <t>Title</t>
  </si>
  <si>
    <t>Failed findings</t>
  </si>
  <si>
    <t>Needs review</t>
  </si>
  <si>
    <t>Alfa Roasters — Accessibility-first coffee</t>
  </si>
  <si>
    <t>Page references</t>
  </si>
  <si>
    <t>Every open rule is tied to the audited page as a direct link. Filter by issue or status to move from the worklist to page-level evidence.</t>
  </si>
  <si>
    <t>Occurrences</t>
  </si>
  <si>
    <t>Who is affected</t>
  </si>
  <si>
    <t>Alfa identifies standards failures, not affected user groups. Classify user impact during triage; counts below intentionally expose that remaining work.</t>
  </si>
  <si>
    <t>User group</t>
  </si>
  <si>
    <t>Issue types affecting them</t>
  </si>
  <si>
    <t>Across (page-instances)</t>
  </si>
  <si>
    <t>Manual classification required</t>
  </si>
  <si>
    <t>Coverage &amp; method — Alfa rule results</t>
  </si>
  <si>
    <t>Every rule evaluated for this page, including passed rules. Failed and Can't Tell counts remain separate so automation never hides human-review work.</t>
  </si>
  <si>
    <t>Reference</t>
  </si>
  <si>
    <t>Can't Tell</t>
  </si>
  <si>
    <t>Passed</t>
  </si>
  <si>
    <t>sia-r1</t>
  </si>
  <si>
    <t>https://alfa.siteimprove.com/rules/sia-r1</t>
  </si>
  <si>
    <t>sia-r4</t>
  </si>
  <si>
    <t>https://alfa.siteimprove.com/rules/sia-r4</t>
  </si>
  <si>
    <t>sia-r5</t>
  </si>
  <si>
    <t>https://alfa.siteimprove.com/rules/sia-r5</t>
  </si>
  <si>
    <t>sia-r7</t>
  </si>
  <si>
    <t>https://alfa.siteimprove.com/rules/sia-r7</t>
  </si>
  <si>
    <t>Not applicable</t>
  </si>
  <si>
    <t>sia-r8</t>
  </si>
  <si>
    <t>https://alfa.siteimprove.com/rules/sia-r8</t>
  </si>
  <si>
    <t>sia-r9</t>
  </si>
  <si>
    <t>https://alfa.siteimprove.com/rules/sia-r9</t>
  </si>
  <si>
    <t>sia-r10</t>
  </si>
  <si>
    <t>https://alfa.siteimprove.com/rules/sia-r10</t>
  </si>
  <si>
    <t>sia-r11</t>
  </si>
  <si>
    <t>https://alfa.siteimprove.com/rules/sia-r11</t>
  </si>
  <si>
    <t>sia-r12</t>
  </si>
  <si>
    <t>https://alfa.siteimprove.com/rules/sia-r12</t>
  </si>
  <si>
    <t>sia-r13</t>
  </si>
  <si>
    <t>https://alfa.siteimprove.com/rules/sia-r13</t>
  </si>
  <si>
    <t>sia-r14</t>
  </si>
  <si>
    <t>https://alfa.siteimprove.com/rules/sia-r14</t>
  </si>
  <si>
    <t>sia-r15</t>
  </si>
  <si>
    <t>https://alfa.siteimprove.com/rules/sia-r15</t>
  </si>
  <si>
    <t>sia-r16</t>
  </si>
  <si>
    <t>https://alfa.siteimprove.com/rules/sia-r16</t>
  </si>
  <si>
    <t>sia-r17</t>
  </si>
  <si>
    <t>https://alfa.siteimprove.com/rules/sia-r17</t>
  </si>
  <si>
    <t>sia-r18</t>
  </si>
  <si>
    <t>https://alfa.siteimprove.com/rules/sia-r18</t>
  </si>
  <si>
    <t>sia-r19</t>
  </si>
  <si>
    <t>https://alfa.siteimprove.com/rules/sia-r19</t>
  </si>
  <si>
    <t>sia-r20</t>
  </si>
  <si>
    <t>https://alfa.siteimprove.com/rules/sia-r20</t>
  </si>
  <si>
    <t>sia-r21</t>
  </si>
  <si>
    <t>https://alfa.siteimprove.com/rules/sia-r21</t>
  </si>
  <si>
    <t>sia-r27</t>
  </si>
  <si>
    <t>https://alfa.siteimprove.com/rules/sia-r27</t>
  </si>
  <si>
    <t>sia-r28</t>
  </si>
  <si>
    <t>https://alfa.siteimprove.com/rules/sia-r28</t>
  </si>
  <si>
    <t>sia-r30</t>
  </si>
  <si>
    <t>https://alfa.siteimprove.com/rules/sia-r30</t>
  </si>
  <si>
    <t>sia-r35</t>
  </si>
  <si>
    <t>https://alfa.siteimprove.com/rules/sia-r35</t>
  </si>
  <si>
    <t>sia-r37</t>
  </si>
  <si>
    <t>https://alfa.siteimprove.com/rules/sia-r37</t>
  </si>
  <si>
    <t>sia-r38</t>
  </si>
  <si>
    <t>https://alfa.siteimprove.com/rules/sia-r38</t>
  </si>
  <si>
    <t>sia-r39</t>
  </si>
  <si>
    <t>https://alfa.siteimprove.com/rules/sia-r39</t>
  </si>
  <si>
    <t>sia-r40</t>
  </si>
  <si>
    <t>https://alfa.siteimprove.com/rules/sia-r40</t>
  </si>
  <si>
    <t>sia-r42</t>
  </si>
  <si>
    <t>https://alfa.siteimprove.com/rules/sia-r42</t>
  </si>
  <si>
    <t>sia-r43</t>
  </si>
  <si>
    <t>https://alfa.siteimprove.com/rules/sia-r43</t>
  </si>
  <si>
    <t>sia-r44</t>
  </si>
  <si>
    <t>https://alfa.siteimprove.com/rules/sia-r44</t>
  </si>
  <si>
    <t>sia-r45</t>
  </si>
  <si>
    <t>https://alfa.siteimprove.com/rules/sia-r45</t>
  </si>
  <si>
    <t>sia-r46</t>
  </si>
  <si>
    <t>https://alfa.siteimprove.com/rules/sia-r46</t>
  </si>
  <si>
    <t>sia-r47</t>
  </si>
  <si>
    <t>https://alfa.siteimprove.com/rules/sia-r47</t>
  </si>
  <si>
    <t>sia-r50</t>
  </si>
  <si>
    <t>https://alfa.siteimprove.com/rules/sia-r50</t>
  </si>
  <si>
    <t>sia-r53</t>
  </si>
  <si>
    <t>https://alfa.siteimprove.com/rules/sia-r53</t>
  </si>
  <si>
    <t>sia-r55</t>
  </si>
  <si>
    <t>https://alfa.siteimprove.com/rules/sia-r55</t>
  </si>
  <si>
    <t>sia-r57</t>
  </si>
  <si>
    <t>https://alfa.siteimprove.com/rules/sia-r57</t>
  </si>
  <si>
    <t>sia-r59</t>
  </si>
  <si>
    <t>https://alfa.siteimprove.com/rules/sia-r59</t>
  </si>
  <si>
    <t>sia-r60</t>
  </si>
  <si>
    <t>https://alfa.siteimprove.com/rules/sia-r60</t>
  </si>
  <si>
    <t>sia-r61</t>
  </si>
  <si>
    <t>https://alfa.siteimprove.com/rules/sia-r61</t>
  </si>
  <si>
    <t>sia-r62</t>
  </si>
  <si>
    <t>https://alfa.siteimprove.com/rules/sia-r62</t>
  </si>
  <si>
    <t>sia-r63</t>
  </si>
  <si>
    <t>https://alfa.siteimprove.com/rules/sia-r63</t>
  </si>
  <si>
    <t>sia-r64</t>
  </si>
  <si>
    <t>https://alfa.siteimprove.com/rules/sia-r64</t>
  </si>
  <si>
    <t>sia-r65</t>
  </si>
  <si>
    <t>https://alfa.siteimprove.com/rules/sia-r65</t>
  </si>
  <si>
    <t>sia-r67</t>
  </si>
  <si>
    <t>https://alfa.siteimprove.com/rules/sia-r67</t>
  </si>
  <si>
    <t>sia-r68</t>
  </si>
  <si>
    <t>https://alfa.siteimprove.com/rules/sia-r68</t>
  </si>
  <si>
    <t>sia-r69</t>
  </si>
  <si>
    <t>https://alfa.siteimprove.com/rules/sia-r69</t>
  </si>
  <si>
    <t>sia-r70</t>
  </si>
  <si>
    <t>https://alfa.siteimprove.com/rules/sia-r70</t>
  </si>
  <si>
    <t>sia-r72</t>
  </si>
  <si>
    <t>https://alfa.siteimprove.com/rules/sia-r72</t>
  </si>
  <si>
    <t>sia-r75</t>
  </si>
  <si>
    <t>https://alfa.siteimprove.com/rules/sia-r75</t>
  </si>
  <si>
    <t>sia-r76</t>
  </si>
  <si>
    <t>https://alfa.siteimprove.com/rules/sia-r76</t>
  </si>
  <si>
    <t>sia-r77</t>
  </si>
  <si>
    <t>https://alfa.siteimprove.com/rules/sia-r77</t>
  </si>
  <si>
    <t>sia-r78</t>
  </si>
  <si>
    <t>https://alfa.siteimprove.com/rules/sia-r78</t>
  </si>
  <si>
    <t>sia-r79</t>
  </si>
  <si>
    <t>https://alfa.siteimprove.com/rules/sia-r79</t>
  </si>
  <si>
    <t>sia-r81</t>
  </si>
  <si>
    <t>https://alfa.siteimprove.com/rules/sia-r81</t>
  </si>
  <si>
    <t>sia-r84</t>
  </si>
  <si>
    <t>https://alfa.siteimprove.com/rules/sia-r84</t>
  </si>
  <si>
    <t>sia-r85</t>
  </si>
  <si>
    <t>https://alfa.siteimprove.com/rules/sia-r85</t>
  </si>
  <si>
    <t>sia-r86</t>
  </si>
  <si>
    <t>https://alfa.siteimprove.com/rules/sia-r86</t>
  </si>
  <si>
    <t>sia-r87</t>
  </si>
  <si>
    <t>https://alfa.siteimprove.com/rules/sia-r87</t>
  </si>
  <si>
    <t>sia-r90</t>
  </si>
  <si>
    <t>https://alfa.siteimprove.com/rules/sia-r90</t>
  </si>
  <si>
    <t>sia-r91</t>
  </si>
  <si>
    <t>https://alfa.siteimprove.com/rules/sia-r91</t>
  </si>
  <si>
    <t>sia-r92</t>
  </si>
  <si>
    <t>https://alfa.siteimprove.com/rules/sia-r92</t>
  </si>
  <si>
    <t>sia-r93</t>
  </si>
  <si>
    <t>https://alfa.siteimprove.com/rules/sia-r93</t>
  </si>
  <si>
    <t>sia-r94</t>
  </si>
  <si>
    <t>https://alfa.siteimprove.com/rules/sia-r94</t>
  </si>
  <si>
    <t>sia-r95</t>
  </si>
  <si>
    <t>https://alfa.siteimprove.com/rules/sia-r95</t>
  </si>
  <si>
    <t>sia-r110</t>
  </si>
  <si>
    <t>https://alfa.siteimprove.com/rules/sia-r110</t>
  </si>
  <si>
    <t>sia-r116</t>
  </si>
  <si>
    <t>https://alfa.siteimprove.com/rules/sia-r116</t>
  </si>
  <si>
    <t>Manual Test Tracking</t>
  </si>
  <si>
    <t>Automated checks cannot decide every result. Review each indeterminate rule below and record Pass / Fail after testing with the relevant human method.</t>
  </si>
  <si>
    <t>Focus</t>
  </si>
  <si>
    <t>What to check</t>
  </si>
  <si>
    <t>Pass / Fail</t>
  </si>
  <si>
    <t>No rules returned Can't Tell in this audit.</t>
  </si>
  <si>
    <t>Manual review evidence</t>
  </si>
  <si>
    <t>Human decisions and the page/external evidence supporting them. Rows without evidence are decisions that still need supporting references.</t>
  </si>
  <si>
    <t>Criterion</t>
  </si>
  <si>
    <t>Outcome</t>
  </si>
  <si>
    <t>Rationale</t>
  </si>
  <si>
    <t>Page reference</t>
  </si>
  <si>
    <t>External reference</t>
  </si>
  <si>
    <t>Expert note</t>
  </si>
  <si>
    <t>No manual decisions have been recorded yet.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</si>
</sst>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mmmm d, yyyy"/>
  </numFmts>
  <fonts count="7" x14ac:knownFonts="1">
    <font>
      <color theme="1"/>
      <family val="2"/>
      <scheme val="minor"/>
      <sz val="11"/>
      <name val="Calibri"/>
    </font>
    <font>
      <b/>
      <color rgb="356854"/>
      <sz val="14"/>
    </font>
    <font>
      <sz val="10"/>
    </font>
    <font>
      <b/>
      <color rgb="FFFFFF"/>
    </font>
    <font>
      <b/>
    </font>
    <font>
      <u/>
      <color rgb="0000FF"/>
    </font>
    <font>
      <i/>
      <sz val="10"/>
    </font>
  </fonts>
  <fills count="5">
    <fill>
      <patternFill patternType="none"/>
    </fill>
    <fill>
      <patternFill patternType="gray125"/>
    </fill>
    <fill>
      <patternFill patternType="solid">
        <fgColor rgb="356854"/>
      </patternFill>
    </fill>
    <fill>
      <patternFill patternType="solid">
        <fgColor rgb="FFF2CC"/>
      </patternFill>
    </fill>
    <fill>
      <patternFill patternType="solid">
        <fgColor rgb="F6F8F9"/>
      </patternFill>
    </fill>
  </fills>
  <borders count="3">
    <border>
      <left/>
      <right/>
      <top/>
      <bottom/>
      <diagonal/>
    </border>
    <border>
      <left/>
      <right/>
      <top/>
      <bottom style="thin">
        <color rgb="D0D7DE"/>
      </bottom>
      <diagonal/>
    </border>
    <border>
      <left style="thin">
        <color rgb="D0D7DE"/>
      </left>
      <right style="thin">
        <color rgb="D0D7DE"/>
      </right>
      <top style="thin">
        <color rgb="D0D7DE"/>
      </top>
      <bottom style="thin">
        <color rgb="D0D7DE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/>
    <xf numFmtId="0" fontId="2" fillId="0" borderId="0" xfId="0" applyFont="1" applyAlignment="1">
      <alignment wrapText="1"/>
    </xf>
    <xf numFmtId="0" fontId="3" fillId="2" borderId="0" xfId="0" applyFont="1" applyFill="1"/>
    <xf numFmtId="0" fontId="4" fillId="0" borderId="1" xfId="0" applyFont="1" applyBorder="1"/>
    <xf numFmtId="0" fontId="5" fillId="0" borderId="1" xfId="0" applyFont="1" applyBorder="1"/>
    <xf numFmtId="0" fontId="0" fillId="0" borderId="1" xfId="0" applyBorder="1"/>
    <xf numFmtId="164" fontId="0" fillId="0" borderId="1" xfId="0" applyNumberFormat="1" applyBorder="1"/>
    <xf numFmtId="3" fontId="0" fillId="0" borderId="1" xfId="0" applyNumberFormat="1" applyBorder="1"/>
    <xf numFmtId="0" fontId="5" fillId="0" borderId="0" xfId="0" applyFont="1"/>
    <xf numFmtId="0" fontId="0" fillId="3" borderId="0" xfId="0" applyFill="1" applyAlignment="1">
      <alignment vertical="top" wrapText="1"/>
    </xf>
    <xf numFmtId="0" fontId="3" fillId="2" borderId="2" xfId="0" applyFont="1" applyFill="1" applyBorder="1" applyAlignment="1">
      <alignment vertical="top" wrapText="1"/>
    </xf>
    <xf numFmtId="0" fontId="0" fillId="0" borderId="2" xfId="0" applyBorder="1" applyAlignment="1">
      <alignment vertical="top" wrapText="1"/>
    </xf>
    <xf numFmtId="0" fontId="5" fillId="0" borderId="2" xfId="0" applyFont="1" applyBorder="1" applyAlignment="1">
      <alignment vertical="top" wrapText="1"/>
    </xf>
    <xf numFmtId="0" fontId="2" fillId="0" borderId="0" xfId="0" applyFont="1" applyAlignment="1">
      <alignment vertical="top" wrapText="1"/>
    </xf>
    <xf numFmtId="0" fontId="0" fillId="4" borderId="2" xfId="0" applyFill="1" applyBorder="1" applyAlignment="1">
      <alignment vertical="top" wrapText="1"/>
    </xf>
    <xf numFmtId="0" fontId="5" fillId="4" borderId="2" xfId="0" applyFont="1" applyFill="1" applyBorder="1" applyAlignment="1">
      <alignment vertical="top" wrapText="1"/>
    </xf>
    <xf numFmtId="0" fontId="6" fillId="0" borderId="2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://localhost:5173/" TargetMode="External"/><Relationship Id="rId2" Type="http://schemas.openxmlformats.org/officeDocument/2006/relationships/hyperlink" Target="https://github.com/lsa-mis/a11ytestingCICD/actions/runs/29940823032" TargetMode="Ex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://localhost:5173/" TargetMode="External"/><Relationship Id="rId2" Type="http://schemas.openxmlformats.org/officeDocument/2006/relationships/hyperlink" Target="http://localhost:5173/" TargetMode="External"/><Relationship Id="rId3" Type="http://schemas.openxmlformats.org/officeDocument/2006/relationships/hyperlink" Target="https://alfa.siteimprove.com/rules/sia-r2" TargetMode="Externa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http://localhost:5173/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http://localhost:5173/" TargetMode="Externa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hyperlink" Target="https://alfa.siteimprove.com/rules/sia-r1" TargetMode="External"/><Relationship Id="rId2" Type="http://schemas.openxmlformats.org/officeDocument/2006/relationships/hyperlink" Target="https://alfa.siteimprove.com/rules/sia-r2" TargetMode="External"/><Relationship Id="rId3" Type="http://schemas.openxmlformats.org/officeDocument/2006/relationships/hyperlink" Target="https://alfa.siteimprove.com/rules/sia-r4" TargetMode="External"/><Relationship Id="rId4" Type="http://schemas.openxmlformats.org/officeDocument/2006/relationships/hyperlink" Target="https://alfa.siteimprove.com/rules/sia-r5" TargetMode="External"/><Relationship Id="rId5" Type="http://schemas.openxmlformats.org/officeDocument/2006/relationships/hyperlink" Target="https://alfa.siteimprove.com/rules/sia-r7" TargetMode="External"/><Relationship Id="rId6" Type="http://schemas.openxmlformats.org/officeDocument/2006/relationships/hyperlink" Target="https://alfa.siteimprove.com/rules/sia-r8" TargetMode="External"/><Relationship Id="rId7" Type="http://schemas.openxmlformats.org/officeDocument/2006/relationships/hyperlink" Target="https://alfa.siteimprove.com/rules/sia-r9" TargetMode="External"/><Relationship Id="rId8" Type="http://schemas.openxmlformats.org/officeDocument/2006/relationships/hyperlink" Target="https://alfa.siteimprove.com/rules/sia-r10" TargetMode="External"/><Relationship Id="rId9" Type="http://schemas.openxmlformats.org/officeDocument/2006/relationships/hyperlink" Target="https://alfa.siteimprove.com/rules/sia-r11" TargetMode="External"/><Relationship Id="rId10" Type="http://schemas.openxmlformats.org/officeDocument/2006/relationships/hyperlink" Target="https://alfa.siteimprove.com/rules/sia-r12" TargetMode="External"/><Relationship Id="rId11" Type="http://schemas.openxmlformats.org/officeDocument/2006/relationships/hyperlink" Target="https://alfa.siteimprove.com/rules/sia-r13" TargetMode="External"/><Relationship Id="rId12" Type="http://schemas.openxmlformats.org/officeDocument/2006/relationships/hyperlink" Target="https://alfa.siteimprove.com/rules/sia-r14" TargetMode="External"/><Relationship Id="rId13" Type="http://schemas.openxmlformats.org/officeDocument/2006/relationships/hyperlink" Target="https://alfa.siteimprove.com/rules/sia-r15" TargetMode="External"/><Relationship Id="rId14" Type="http://schemas.openxmlformats.org/officeDocument/2006/relationships/hyperlink" Target="https://alfa.siteimprove.com/rules/sia-r16" TargetMode="External"/><Relationship Id="rId15" Type="http://schemas.openxmlformats.org/officeDocument/2006/relationships/hyperlink" Target="https://alfa.siteimprove.com/rules/sia-r17" TargetMode="External"/><Relationship Id="rId16" Type="http://schemas.openxmlformats.org/officeDocument/2006/relationships/hyperlink" Target="https://alfa.siteimprove.com/rules/sia-r18" TargetMode="External"/><Relationship Id="rId17" Type="http://schemas.openxmlformats.org/officeDocument/2006/relationships/hyperlink" Target="https://alfa.siteimprove.com/rules/sia-r19" TargetMode="External"/><Relationship Id="rId18" Type="http://schemas.openxmlformats.org/officeDocument/2006/relationships/hyperlink" Target="https://alfa.siteimprove.com/rules/sia-r20" TargetMode="External"/><Relationship Id="rId19" Type="http://schemas.openxmlformats.org/officeDocument/2006/relationships/hyperlink" Target="https://alfa.siteimprove.com/rules/sia-r21" TargetMode="External"/><Relationship Id="rId20" Type="http://schemas.openxmlformats.org/officeDocument/2006/relationships/hyperlink" Target="https://alfa.siteimprove.com/rules/sia-r27" TargetMode="External"/><Relationship Id="rId21" Type="http://schemas.openxmlformats.org/officeDocument/2006/relationships/hyperlink" Target="https://alfa.siteimprove.com/rules/sia-r28" TargetMode="External"/><Relationship Id="rId22" Type="http://schemas.openxmlformats.org/officeDocument/2006/relationships/hyperlink" Target="https://alfa.siteimprove.com/rules/sia-r30" TargetMode="External"/><Relationship Id="rId23" Type="http://schemas.openxmlformats.org/officeDocument/2006/relationships/hyperlink" Target="https://alfa.siteimprove.com/rules/sia-r35" TargetMode="External"/><Relationship Id="rId24" Type="http://schemas.openxmlformats.org/officeDocument/2006/relationships/hyperlink" Target="https://alfa.siteimprove.com/rules/sia-r37" TargetMode="External"/><Relationship Id="rId25" Type="http://schemas.openxmlformats.org/officeDocument/2006/relationships/hyperlink" Target="https://alfa.siteimprove.com/rules/sia-r38" TargetMode="External"/><Relationship Id="rId26" Type="http://schemas.openxmlformats.org/officeDocument/2006/relationships/hyperlink" Target="https://alfa.siteimprove.com/rules/sia-r39" TargetMode="External"/><Relationship Id="rId27" Type="http://schemas.openxmlformats.org/officeDocument/2006/relationships/hyperlink" Target="https://alfa.siteimprove.com/rules/sia-r40" TargetMode="External"/><Relationship Id="rId28" Type="http://schemas.openxmlformats.org/officeDocument/2006/relationships/hyperlink" Target="https://alfa.siteimprove.com/rules/sia-r42" TargetMode="External"/><Relationship Id="rId29" Type="http://schemas.openxmlformats.org/officeDocument/2006/relationships/hyperlink" Target="https://alfa.siteimprove.com/rules/sia-r43" TargetMode="External"/><Relationship Id="rId30" Type="http://schemas.openxmlformats.org/officeDocument/2006/relationships/hyperlink" Target="https://alfa.siteimprove.com/rules/sia-r44" TargetMode="External"/><Relationship Id="rId31" Type="http://schemas.openxmlformats.org/officeDocument/2006/relationships/hyperlink" Target="https://alfa.siteimprove.com/rules/sia-r45" TargetMode="External"/><Relationship Id="rId32" Type="http://schemas.openxmlformats.org/officeDocument/2006/relationships/hyperlink" Target="https://alfa.siteimprove.com/rules/sia-r46" TargetMode="External"/><Relationship Id="rId33" Type="http://schemas.openxmlformats.org/officeDocument/2006/relationships/hyperlink" Target="https://alfa.siteimprove.com/rules/sia-r47" TargetMode="External"/><Relationship Id="rId34" Type="http://schemas.openxmlformats.org/officeDocument/2006/relationships/hyperlink" Target="https://alfa.siteimprove.com/rules/sia-r50" TargetMode="External"/><Relationship Id="rId35" Type="http://schemas.openxmlformats.org/officeDocument/2006/relationships/hyperlink" Target="https://alfa.siteimprove.com/rules/sia-r53" TargetMode="External"/><Relationship Id="rId36" Type="http://schemas.openxmlformats.org/officeDocument/2006/relationships/hyperlink" Target="https://alfa.siteimprove.com/rules/sia-r55" TargetMode="External"/><Relationship Id="rId37" Type="http://schemas.openxmlformats.org/officeDocument/2006/relationships/hyperlink" Target="https://alfa.siteimprove.com/rules/sia-r57" TargetMode="External"/><Relationship Id="rId38" Type="http://schemas.openxmlformats.org/officeDocument/2006/relationships/hyperlink" Target="https://alfa.siteimprove.com/rules/sia-r59" TargetMode="External"/><Relationship Id="rId39" Type="http://schemas.openxmlformats.org/officeDocument/2006/relationships/hyperlink" Target="https://alfa.siteimprove.com/rules/sia-r60" TargetMode="External"/><Relationship Id="rId40" Type="http://schemas.openxmlformats.org/officeDocument/2006/relationships/hyperlink" Target="https://alfa.siteimprove.com/rules/sia-r61" TargetMode="External"/><Relationship Id="rId41" Type="http://schemas.openxmlformats.org/officeDocument/2006/relationships/hyperlink" Target="https://alfa.siteimprove.com/rules/sia-r62" TargetMode="External"/><Relationship Id="rId42" Type="http://schemas.openxmlformats.org/officeDocument/2006/relationships/hyperlink" Target="https://alfa.siteimprove.com/rules/sia-r63" TargetMode="External"/><Relationship Id="rId43" Type="http://schemas.openxmlformats.org/officeDocument/2006/relationships/hyperlink" Target="https://alfa.siteimprove.com/rules/sia-r64" TargetMode="External"/><Relationship Id="rId44" Type="http://schemas.openxmlformats.org/officeDocument/2006/relationships/hyperlink" Target="https://alfa.siteimprove.com/rules/sia-r65" TargetMode="External"/><Relationship Id="rId45" Type="http://schemas.openxmlformats.org/officeDocument/2006/relationships/hyperlink" Target="https://alfa.siteimprove.com/rules/sia-r67" TargetMode="External"/><Relationship Id="rId46" Type="http://schemas.openxmlformats.org/officeDocument/2006/relationships/hyperlink" Target="https://alfa.siteimprove.com/rules/sia-r68" TargetMode="External"/><Relationship Id="rId47" Type="http://schemas.openxmlformats.org/officeDocument/2006/relationships/hyperlink" Target="https://alfa.siteimprove.com/rules/sia-r69" TargetMode="External"/><Relationship Id="rId48" Type="http://schemas.openxmlformats.org/officeDocument/2006/relationships/hyperlink" Target="https://alfa.siteimprove.com/rules/sia-r70" TargetMode="External"/><Relationship Id="rId49" Type="http://schemas.openxmlformats.org/officeDocument/2006/relationships/hyperlink" Target="https://alfa.siteimprove.com/rules/sia-r72" TargetMode="External"/><Relationship Id="rId50" Type="http://schemas.openxmlformats.org/officeDocument/2006/relationships/hyperlink" Target="https://alfa.siteimprove.com/rules/sia-r75" TargetMode="External"/><Relationship Id="rId51" Type="http://schemas.openxmlformats.org/officeDocument/2006/relationships/hyperlink" Target="https://alfa.siteimprove.com/rules/sia-r76" TargetMode="External"/><Relationship Id="rId52" Type="http://schemas.openxmlformats.org/officeDocument/2006/relationships/hyperlink" Target="https://alfa.siteimprove.com/rules/sia-r77" TargetMode="External"/><Relationship Id="rId53" Type="http://schemas.openxmlformats.org/officeDocument/2006/relationships/hyperlink" Target="https://alfa.siteimprove.com/rules/sia-r78" TargetMode="External"/><Relationship Id="rId54" Type="http://schemas.openxmlformats.org/officeDocument/2006/relationships/hyperlink" Target="https://alfa.siteimprove.com/rules/sia-r79" TargetMode="External"/><Relationship Id="rId55" Type="http://schemas.openxmlformats.org/officeDocument/2006/relationships/hyperlink" Target="https://alfa.siteimprove.com/rules/sia-r81" TargetMode="External"/><Relationship Id="rId56" Type="http://schemas.openxmlformats.org/officeDocument/2006/relationships/hyperlink" Target="https://alfa.siteimprove.com/rules/sia-r84" TargetMode="External"/><Relationship Id="rId57" Type="http://schemas.openxmlformats.org/officeDocument/2006/relationships/hyperlink" Target="https://alfa.siteimprove.com/rules/sia-r85" TargetMode="External"/><Relationship Id="rId58" Type="http://schemas.openxmlformats.org/officeDocument/2006/relationships/hyperlink" Target="https://alfa.siteimprove.com/rules/sia-r86" TargetMode="External"/><Relationship Id="rId59" Type="http://schemas.openxmlformats.org/officeDocument/2006/relationships/hyperlink" Target="https://alfa.siteimprove.com/rules/sia-r87" TargetMode="External"/><Relationship Id="rId60" Type="http://schemas.openxmlformats.org/officeDocument/2006/relationships/hyperlink" Target="https://alfa.siteimprove.com/rules/sia-r90" TargetMode="External"/><Relationship Id="rId61" Type="http://schemas.openxmlformats.org/officeDocument/2006/relationships/hyperlink" Target="https://alfa.siteimprove.com/rules/sia-r91" TargetMode="External"/><Relationship Id="rId62" Type="http://schemas.openxmlformats.org/officeDocument/2006/relationships/hyperlink" Target="https://alfa.siteimprove.com/rules/sia-r92" TargetMode="External"/><Relationship Id="rId63" Type="http://schemas.openxmlformats.org/officeDocument/2006/relationships/hyperlink" Target="https://alfa.siteimprove.com/rules/sia-r93" TargetMode="External"/><Relationship Id="rId64" Type="http://schemas.openxmlformats.org/officeDocument/2006/relationships/hyperlink" Target="https://alfa.siteimprove.com/rules/sia-r94" TargetMode="External"/><Relationship Id="rId65" Type="http://schemas.openxmlformats.org/officeDocument/2006/relationships/hyperlink" Target="https://alfa.siteimprove.com/rules/sia-r95" TargetMode="External"/><Relationship Id="rId66" Type="http://schemas.openxmlformats.org/officeDocument/2006/relationships/hyperlink" Target="https://alfa.siteimprove.com/rules/sia-r110" TargetMode="External"/><Relationship Id="rId67" Type="http://schemas.openxmlformats.org/officeDocument/2006/relationships/hyperlink" Target="https://alfa.siteimprove.com/rules/sia-r11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5"/>
  <sheetViews>
    <sheetView workbookViewId="0" showGridLines="0"/>
  </sheetViews>
  <sheetFormatPr defaultRowHeight="15" outlineLevelRow="0" outlineLevelCol="0" x14ac:dyDescent="55"/>
  <cols>
    <col min="1" max="1" width="42" customWidth="1"/>
    <col min="2" max="2" width="60" customWidth="1"/>
  </cols>
  <sheetData>
    <row r="1" spans="1:1" x14ac:dyDescent="0.25">
      <c r="A1" s="1" t="s">
        <v>0</v>
      </c>
    </row>
    <row r="2" ht="30" customHeight="1" spans="1:2" x14ac:dyDescent="0.25">
      <c r="A2" s="2" t="s">
        <v>1</v>
      </c>
      <c r="B2" s="2"/>
    </row>
    <row r="4" spans="1:2" x14ac:dyDescent="0.25">
      <c r="A4" s="3" t="s">
        <v>2</v>
      </c>
      <c r="B4" s="3"/>
    </row>
    <row r="5" spans="1:2" x14ac:dyDescent="0.25">
      <c r="A5" s="4" t="s">
        <v>3</v>
      </c>
      <c r="B5" s="5" t="s">
        <v>4</v>
      </c>
    </row>
    <row r="6" spans="1:2" x14ac:dyDescent="0.25">
      <c r="A6" s="4" t="s">
        <v>5</v>
      </c>
      <c r="B6" s="6" t="s">
        <v>6</v>
      </c>
    </row>
    <row r="7" spans="1:2" x14ac:dyDescent="0.25">
      <c r="A7" s="4" t="s">
        <v>7</v>
      </c>
      <c r="B7" s="6" t="s">
        <v>8</v>
      </c>
    </row>
    <row r="8" spans="1:2" x14ac:dyDescent="0.25">
      <c r="A8" s="4" t="s">
        <v>9</v>
      </c>
      <c r="B8" s="7">
        <v>46225.71229622685</v>
      </c>
    </row>
    <row r="10" spans="1:2" x14ac:dyDescent="0.25">
      <c r="A10" s="3" t="s">
        <v>10</v>
      </c>
      <c r="B10" s="3"/>
    </row>
    <row r="11" spans="1:2" x14ac:dyDescent="0.25">
      <c r="A11" s="4" t="s">
        <v>11</v>
      </c>
      <c r="B11" s="8">
        <f>=COUNTIF('Coverage &amp; Method'!$C$5:$C$71,"Failed")</f>
        <v>1</v>
      </c>
    </row>
    <row r="12" spans="1:2" x14ac:dyDescent="0.25">
      <c r="A12" s="4" t="s">
        <v>12</v>
      </c>
      <c r="B12" s="8">
        <f>=SUM('Coverage &amp; Method'!$D$5:$D$71)</f>
        <v>1</v>
      </c>
    </row>
    <row r="13" spans="1:2" x14ac:dyDescent="0.25">
      <c r="A13" s="4" t="s">
        <v>13</v>
      </c>
      <c r="B13" s="8">
        <f>=COUNTIF('Coverage &amp; Method'!$C$5:$C$71,"Needs review")</f>
        <v>0</v>
      </c>
    </row>
    <row r="14" spans="1:2" x14ac:dyDescent="0.25">
      <c r="A14" s="4" t="s">
        <v>14</v>
      </c>
      <c r="B14" s="8">
        <f>=COUNTIF('Coverage &amp; Method'!$C$5:$C$71,"Passed")</f>
        <v>35</v>
      </c>
    </row>
    <row r="16" spans="1:2" x14ac:dyDescent="0.25">
      <c r="A16" s="3" t="s">
        <v>15</v>
      </c>
      <c r="B16" s="3"/>
    </row>
    <row r="17" spans="1:2" x14ac:dyDescent="0.25">
      <c r="A17" s="4" t="s">
        <v>16</v>
      </c>
      <c r="B17" s="6" t="s">
        <v>17</v>
      </c>
    </row>
    <row r="18" spans="1:2" x14ac:dyDescent="0.25">
      <c r="A18" s="4" t="s">
        <v>18</v>
      </c>
      <c r="B18" s="8">
        <f>=SUM('Coverage &amp; Method'!$D$5:$D$71)</f>
        <v>1</v>
      </c>
    </row>
    <row r="19" spans="1:2" x14ac:dyDescent="0.25">
      <c r="A19" s="4" t="s">
        <v>19</v>
      </c>
      <c r="B19" s="8">
        <f>=SUM('Coverage &amp; Method'!$E$5:$E$71)</f>
        <v>0</v>
      </c>
    </row>
    <row r="21" spans="1:2" x14ac:dyDescent="0.25">
      <c r="A21" s="3" t="s">
        <v>20</v>
      </c>
      <c r="B21" s="3"/>
    </row>
    <row r="22" spans="1:2" x14ac:dyDescent="0.25">
      <c r="A22" s="4" t="s">
        <v>21</v>
      </c>
      <c r="B22" s="6" t="s">
        <v>22</v>
      </c>
    </row>
    <row r="23" spans="1:2" x14ac:dyDescent="0.25">
      <c r="A23" s="4" t="s">
        <v>23</v>
      </c>
      <c r="B23" s="6" t="s">
        <v>24</v>
      </c>
    </row>
    <row r="24" spans="1:2" x14ac:dyDescent="0.25">
      <c r="A24" s="4" t="s">
        <v>25</v>
      </c>
      <c r="B24" s="5" t="s">
        <v>26</v>
      </c>
    </row>
    <row r="25" spans="1:2" x14ac:dyDescent="0.25">
      <c r="A25" s="4" t="s">
        <v>27</v>
      </c>
      <c r="B25" s="6" t="s">
        <v>28</v>
      </c>
    </row>
  </sheetData>
  <mergeCells count="5">
    <mergeCell ref="A2:B2"/>
    <mergeCell ref="A4:B4"/>
    <mergeCell ref="A10:B10"/>
    <mergeCell ref="A16:B16"/>
    <mergeCell ref="A21:B21"/>
  </mergeCells>
  <hyperlinks>
    <hyperlink ref="B5" r:id="rId1" tooltip="http://localhost:5173/"/>
    <hyperlink ref="B24" r:id="rId2" tooltip="https://github.com/lsa-mis/a11ytestingCICD/actions/runs/29940823032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9"/>
  <sheetViews>
    <sheetView workbookViewId="0" showGridLines="0">
      <pane ySplit="8" topLeftCell="A9" activePane="bottomLeft" state="frozen"/>
      <selection pane="bottomLeft"/>
    </sheetView>
  </sheetViews>
  <sheetFormatPr defaultRowHeight="15" outlineLevelRow="0" outlineLevelCol="0" x14ac:dyDescent="55"/>
  <cols>
    <col min="1" max="1" width="38" customWidth="1"/>
    <col min="2" max="2" width="28" customWidth="1"/>
    <col min="3" max="3" width="18" customWidth="1"/>
    <col min="4" max="4" width="22" customWidth="1"/>
    <col min="5" max="5" width="16" customWidth="1"/>
    <col min="6" max="6" width="50" customWidth="1"/>
    <col min="7" max="7" width="30" customWidth="1"/>
    <col min="8" max="8" width="50" customWidth="1"/>
    <col min="9" max="9" width="38" customWidth="1"/>
    <col min="10" max="11" width="24" customWidth="1"/>
  </cols>
  <sheetData>
    <row r="1" spans="1:1" x14ac:dyDescent="0.25">
      <c r="A1" s="9" t="s">
        <v>29</v>
      </c>
    </row>
    <row r="2" spans="1:1" x14ac:dyDescent="0.25">
      <c r="A2" t="s">
        <v>30</v>
      </c>
    </row>
    <row r="3" spans="1:1" x14ac:dyDescent="0.25">
      <c r="A3" t="s">
        <v>31</v>
      </c>
    </row>
    <row r="4" spans="1:1" x14ac:dyDescent="0.25">
      <c r="A4" t="s">
        <v>32</v>
      </c>
    </row>
    <row r="5" ht="48" customHeight="1" spans="1:11" x14ac:dyDescent="0.25">
      <c r="A5" s="10" t="s">
        <v>33</v>
      </c>
      <c r="B5" s="10"/>
      <c r="C5" s="10"/>
      <c r="D5" s="10"/>
      <c r="E5" s="10"/>
      <c r="F5" s="10"/>
      <c r="G5" s="10"/>
      <c r="H5" s="10"/>
      <c r="I5" s="10"/>
      <c r="J5" s="10"/>
      <c r="K5" s="10"/>
    </row>
    <row r="8" ht="22" customHeight="1" spans="1:11" x14ac:dyDescent="0.25">
      <c r="A8" s="11" t="s">
        <v>34</v>
      </c>
      <c r="B8" s="11" t="s">
        <v>35</v>
      </c>
      <c r="C8" s="11" t="s">
        <v>36</v>
      </c>
      <c r="D8" s="11" t="s">
        <v>37</v>
      </c>
      <c r="E8" s="11" t="s">
        <v>38</v>
      </c>
      <c r="F8" s="11" t="s">
        <v>39</v>
      </c>
      <c r="G8" s="11" t="s">
        <v>40</v>
      </c>
      <c r="H8" s="11" t="s">
        <v>41</v>
      </c>
      <c r="I8" s="11" t="s">
        <v>42</v>
      </c>
      <c r="J8" s="11" t="s">
        <v>43</v>
      </c>
      <c r="K8" s="11" t="s">
        <v>44</v>
      </c>
    </row>
    <row r="9" ht="60" customHeight="1" spans="1:11" x14ac:dyDescent="0.25">
      <c r="A9" s="12" t="s">
        <v>45</v>
      </c>
      <c r="B9" s="12" t="s">
        <v>46</v>
      </c>
      <c r="C9" s="12" t="s">
        <v>47</v>
      </c>
      <c r="D9" s="12" t="s">
        <v>48</v>
      </c>
      <c r="E9" s="12" t="s">
        <v>49</v>
      </c>
      <c r="F9" s="12" t="s">
        <v>50</v>
      </c>
      <c r="G9" s="13" t="s">
        <v>51</v>
      </c>
      <c r="H9" s="12" t="s">
        <v>52</v>
      </c>
      <c r="I9" s="13" t="s">
        <v>53</v>
      </c>
      <c r="J9" s="12" t="s">
        <v>54</v>
      </c>
      <c r="K9" s="12" t="s">
        <v>55</v>
      </c>
    </row>
  </sheetData>
  <autoFilter ref="A8:K9"/>
  <mergeCells count="1">
    <mergeCell ref="A5:K5"/>
  </mergeCells>
  <dataValidations count="1">
    <dataValidation type="list" sqref="E9">
      <formula1>"Not Started,In Progress,Blocked,Done"</formula1>
    </dataValidation>
  </dataValidations>
  <hyperlinks>
    <hyperlink ref="A1" r:id="rId1" tooltip="http://localhost:5173/"/>
    <hyperlink ref="G9" r:id="rId2" tooltip="http://localhost:5173/"/>
    <hyperlink ref="I9" r:id="rId3" tooltip="https://alfa.siteimprove.com/rules/sia-r2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"/>
  <sheetViews>
    <sheetView workbookViewId="0" showGridLines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46" customWidth="1"/>
    <col min="3" max="3" width="18" customWidth="1"/>
    <col min="4" max="4" width="24" customWidth="1"/>
    <col min="5" max="5" width="12" customWidth="1"/>
    <col min="6" max="6" width="24" customWidth="1"/>
    <col min="7" max="7" width="30" customWidth="1"/>
  </cols>
  <sheetData>
    <row r="1" spans="1:1" x14ac:dyDescent="0.25">
      <c r="A1" s="1" t="s">
        <v>56</v>
      </c>
    </row>
    <row r="2" ht="30" customHeight="1" spans="1:7" x14ac:dyDescent="0.25">
      <c r="A2" s="14" t="s">
        <v>57</v>
      </c>
      <c r="B2" s="14"/>
      <c r="C2" s="14"/>
      <c r="D2" s="14"/>
      <c r="E2" s="14"/>
      <c r="F2" s="14"/>
      <c r="G2" s="14"/>
    </row>
    <row r="4" ht="22" customHeight="1" spans="1:7" x14ac:dyDescent="0.25">
      <c r="A4" s="11" t="s">
        <v>58</v>
      </c>
      <c r="B4" s="11" t="s">
        <v>59</v>
      </c>
      <c r="C4" s="11" t="s">
        <v>60</v>
      </c>
      <c r="D4" s="11" t="s">
        <v>61</v>
      </c>
      <c r="E4" s="11" t="s">
        <v>62</v>
      </c>
      <c r="F4" s="11" t="s">
        <v>63</v>
      </c>
      <c r="G4" s="11" t="s">
        <v>35</v>
      </c>
    </row>
    <row r="5" spans="1:7" x14ac:dyDescent="0.25">
      <c r="A5" s="12" t="s">
        <v>48</v>
      </c>
      <c r="B5" s="12" t="s">
        <v>45</v>
      </c>
      <c r="C5" s="12" t="s">
        <v>64</v>
      </c>
      <c r="D5" s="12" t="s">
        <v>65</v>
      </c>
      <c r="E5" s="12">
        <v>1</v>
      </c>
      <c r="F5" s="12" t="s">
        <v>66</v>
      </c>
      <c r="G5" s="12" t="s">
        <v>46</v>
      </c>
    </row>
  </sheetData>
  <autoFilter ref="A4:G5"/>
  <mergeCells count="1">
    <mergeCell ref="A2:G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Views>
    <sheetView workbookViewId="0" showGridLines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56" customWidth="1"/>
    <col min="2" max="2" width="44" customWidth="1"/>
    <col min="3" max="4" width="20" customWidth="1"/>
  </cols>
  <sheetData>
    <row r="1" spans="1:1" x14ac:dyDescent="0.25">
      <c r="A1" s="1" t="s">
        <v>67</v>
      </c>
    </row>
    <row r="2" ht="30" customHeight="1" spans="1:4" x14ac:dyDescent="0.25">
      <c r="A2" s="14" t="s">
        <v>68</v>
      </c>
      <c r="B2" s="14"/>
      <c r="C2" s="14"/>
      <c r="D2" s="14"/>
    </row>
    <row r="4" ht="22" customHeight="1" spans="1:4" x14ac:dyDescent="0.25">
      <c r="A4" s="11" t="s">
        <v>3</v>
      </c>
      <c r="B4" s="11" t="s">
        <v>69</v>
      </c>
      <c r="C4" s="11" t="s">
        <v>70</v>
      </c>
      <c r="D4" s="11" t="s">
        <v>71</v>
      </c>
    </row>
    <row r="5" spans="1:4" x14ac:dyDescent="0.25">
      <c r="A5" s="13" t="s">
        <v>4</v>
      </c>
      <c r="B5" s="12" t="s">
        <v>72</v>
      </c>
      <c r="C5" s="12">
        <v>1</v>
      </c>
      <c r="D5" s="12">
        <v>0</v>
      </c>
    </row>
  </sheetData>
  <autoFilter ref="A4:D5"/>
  <mergeCells count="1">
    <mergeCell ref="A2:D2"/>
  </mergeCells>
  <hyperlinks>
    <hyperlink ref="A5" r:id="rId1" tooltip="http://localhost:5173/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Views>
    <sheetView workbookViewId="0" showGridLines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44" customWidth="1"/>
    <col min="2" max="2" width="30" customWidth="1"/>
    <col min="3" max="3" width="64" customWidth="1"/>
    <col min="4" max="5" width="18" customWidth="1"/>
  </cols>
  <sheetData>
    <row r="1" spans="1:1" x14ac:dyDescent="0.25">
      <c r="A1" s="1" t="s">
        <v>73</v>
      </c>
    </row>
    <row r="2" ht="30" customHeight="1" spans="1:5" x14ac:dyDescent="0.25">
      <c r="A2" s="14" t="s">
        <v>74</v>
      </c>
      <c r="B2" s="14"/>
      <c r="C2" s="14"/>
      <c r="D2" s="14"/>
      <c r="E2" s="14"/>
    </row>
    <row r="4" ht="22" customHeight="1" spans="1:5" x14ac:dyDescent="0.25">
      <c r="A4" s="11" t="s">
        <v>59</v>
      </c>
      <c r="B4" s="11" t="s">
        <v>35</v>
      </c>
      <c r="C4" s="11" t="s">
        <v>3</v>
      </c>
      <c r="D4" s="11" t="s">
        <v>75</v>
      </c>
      <c r="E4" s="11" t="s">
        <v>38</v>
      </c>
    </row>
    <row r="5" spans="1:5" x14ac:dyDescent="0.25">
      <c r="A5" s="12" t="s">
        <v>45</v>
      </c>
      <c r="B5" s="12" t="s">
        <v>46</v>
      </c>
      <c r="C5" s="13" t="s">
        <v>4</v>
      </c>
      <c r="D5" s="12">
        <v>1</v>
      </c>
      <c r="E5" s="12" t="s">
        <v>49</v>
      </c>
    </row>
  </sheetData>
  <autoFilter ref="A4:E5"/>
  <mergeCells count="1">
    <mergeCell ref="A2:E2"/>
  </mergeCells>
  <dataValidations count="1">
    <dataValidation type="list" sqref="E5">
      <formula1>"Not Started,In Progress,Blocked,Done"</formula1>
    </dataValidation>
  </dataValidations>
  <hyperlinks>
    <hyperlink ref="C5" r:id="rId1" tooltip="http://localhost:5173/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"/>
  <sheetViews>
    <sheetView workbookViewId="0" showGridLines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48" customWidth="1"/>
    <col min="2" max="3" width="28" customWidth="1"/>
  </cols>
  <sheetData>
    <row r="1" spans="1:1" x14ac:dyDescent="0.25">
      <c r="A1" s="1" t="s">
        <v>76</v>
      </c>
    </row>
    <row r="2" ht="30" customHeight="1" spans="1:3" x14ac:dyDescent="0.25">
      <c r="A2" s="14" t="s">
        <v>77</v>
      </c>
      <c r="B2" s="14"/>
      <c r="C2" s="14"/>
    </row>
    <row r="4" ht="22" customHeight="1" spans="1:3" x14ac:dyDescent="0.25">
      <c r="A4" s="11" t="s">
        <v>78</v>
      </c>
      <c r="B4" s="11" t="s">
        <v>79</v>
      </c>
      <c r="C4" s="11" t="s">
        <v>80</v>
      </c>
    </row>
    <row r="5" spans="1:3" x14ac:dyDescent="0.25">
      <c r="A5" s="12" t="s">
        <v>81</v>
      </c>
      <c r="B5" s="12">
        <v>1</v>
      </c>
      <c r="C5" s="12">
        <v>1</v>
      </c>
    </row>
  </sheetData>
  <autoFilter ref="A4:C5"/>
  <mergeCells count="1">
    <mergeCell ref="A2:C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1"/>
  <sheetViews>
    <sheetView workbookViewId="0" showGridLines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26" customWidth="1"/>
    <col min="2" max="2" width="54" customWidth="1"/>
    <col min="3" max="3" width="20" customWidth="1"/>
    <col min="4" max="4" width="14" customWidth="1"/>
    <col min="5" max="5" width="16" customWidth="1"/>
    <col min="6" max="6" width="14" customWidth="1"/>
  </cols>
  <sheetData>
    <row r="1" spans="1:1" x14ac:dyDescent="0.25">
      <c r="A1" s="1" t="s">
        <v>82</v>
      </c>
    </row>
    <row r="2" ht="30" customHeight="1" spans="1:6" x14ac:dyDescent="0.25">
      <c r="A2" s="14" t="s">
        <v>83</v>
      </c>
      <c r="B2" s="14"/>
      <c r="C2" s="14"/>
      <c r="D2" s="14"/>
      <c r="E2" s="14"/>
      <c r="F2" s="14"/>
    </row>
    <row r="4" ht="22" customHeight="1" spans="1:6" x14ac:dyDescent="0.25">
      <c r="A4" s="11" t="s">
        <v>63</v>
      </c>
      <c r="B4" s="11" t="s">
        <v>84</v>
      </c>
      <c r="C4" s="11" t="s">
        <v>60</v>
      </c>
      <c r="D4" s="11" t="s">
        <v>64</v>
      </c>
      <c r="E4" s="11" t="s">
        <v>85</v>
      </c>
      <c r="F4" s="11" t="s">
        <v>86</v>
      </c>
    </row>
    <row r="5" spans="1:6" x14ac:dyDescent="0.25">
      <c r="A5" s="12" t="s">
        <v>87</v>
      </c>
      <c r="B5" s="13" t="s">
        <v>88</v>
      </c>
      <c r="C5" s="12" t="s">
        <v>86</v>
      </c>
      <c r="D5" s="12">
        <v>0</v>
      </c>
      <c r="E5" s="12">
        <v>0</v>
      </c>
      <c r="F5" s="12">
        <v>1</v>
      </c>
    </row>
    <row r="6" spans="1:6" x14ac:dyDescent="0.25">
      <c r="A6" s="15" t="s">
        <v>66</v>
      </c>
      <c r="B6" s="16" t="s">
        <v>53</v>
      </c>
      <c r="C6" s="15" t="s">
        <v>64</v>
      </c>
      <c r="D6" s="15">
        <v>1</v>
      </c>
      <c r="E6" s="15">
        <v>0</v>
      </c>
      <c r="F6" s="15">
        <v>0</v>
      </c>
    </row>
    <row r="7" spans="1:6" x14ac:dyDescent="0.25">
      <c r="A7" s="12" t="s">
        <v>89</v>
      </c>
      <c r="B7" s="13" t="s">
        <v>90</v>
      </c>
      <c r="C7" s="12" t="s">
        <v>86</v>
      </c>
      <c r="D7" s="12">
        <v>0</v>
      </c>
      <c r="E7" s="12">
        <v>0</v>
      </c>
      <c r="F7" s="12">
        <v>1</v>
      </c>
    </row>
    <row r="8" spans="1:6" x14ac:dyDescent="0.25">
      <c r="A8" s="15" t="s">
        <v>91</v>
      </c>
      <c r="B8" s="16" t="s">
        <v>92</v>
      </c>
      <c r="C8" s="15" t="s">
        <v>86</v>
      </c>
      <c r="D8" s="15">
        <v>0</v>
      </c>
      <c r="E8" s="15">
        <v>0</v>
      </c>
      <c r="F8" s="15">
        <v>1</v>
      </c>
    </row>
    <row r="9" spans="1:6" x14ac:dyDescent="0.25">
      <c r="A9" s="12" t="s">
        <v>93</v>
      </c>
      <c r="B9" s="13" t="s">
        <v>94</v>
      </c>
      <c r="C9" s="12" t="s">
        <v>95</v>
      </c>
      <c r="D9" s="12">
        <v>0</v>
      </c>
      <c r="E9" s="12">
        <v>0</v>
      </c>
      <c r="F9" s="12">
        <v>0</v>
      </c>
    </row>
    <row r="10" spans="1:6" x14ac:dyDescent="0.25">
      <c r="A10" s="15" t="s">
        <v>96</v>
      </c>
      <c r="B10" s="16" t="s">
        <v>97</v>
      </c>
      <c r="C10" s="15" t="s">
        <v>86</v>
      </c>
      <c r="D10" s="15">
        <v>0</v>
      </c>
      <c r="E10" s="15">
        <v>0</v>
      </c>
      <c r="F10" s="15">
        <v>1</v>
      </c>
    </row>
    <row r="11" spans="1:6" x14ac:dyDescent="0.25">
      <c r="A11" s="12" t="s">
        <v>98</v>
      </c>
      <c r="B11" s="13" t="s">
        <v>99</v>
      </c>
      <c r="C11" s="12" t="s">
        <v>95</v>
      </c>
      <c r="D11" s="12">
        <v>0</v>
      </c>
      <c r="E11" s="12">
        <v>0</v>
      </c>
      <c r="F11" s="12">
        <v>0</v>
      </c>
    </row>
    <row r="12" spans="1:6" x14ac:dyDescent="0.25">
      <c r="A12" s="15" t="s">
        <v>100</v>
      </c>
      <c r="B12" s="16" t="s">
        <v>101</v>
      </c>
      <c r="C12" s="15" t="s">
        <v>86</v>
      </c>
      <c r="D12" s="15">
        <v>0</v>
      </c>
      <c r="E12" s="15">
        <v>0</v>
      </c>
      <c r="F12" s="15">
        <v>1</v>
      </c>
    </row>
    <row r="13" spans="1:6" x14ac:dyDescent="0.25">
      <c r="A13" s="12" t="s">
        <v>102</v>
      </c>
      <c r="B13" s="13" t="s">
        <v>103</v>
      </c>
      <c r="C13" s="12" t="s">
        <v>86</v>
      </c>
      <c r="D13" s="12">
        <v>0</v>
      </c>
      <c r="E13" s="12">
        <v>0</v>
      </c>
      <c r="F13" s="12">
        <v>10</v>
      </c>
    </row>
    <row r="14" spans="1:6" x14ac:dyDescent="0.25">
      <c r="A14" s="15" t="s">
        <v>104</v>
      </c>
      <c r="B14" s="16" t="s">
        <v>105</v>
      </c>
      <c r="C14" s="15" t="s">
        <v>86</v>
      </c>
      <c r="D14" s="15">
        <v>0</v>
      </c>
      <c r="E14" s="15">
        <v>0</v>
      </c>
      <c r="F14" s="15">
        <v>1</v>
      </c>
    </row>
    <row r="15" spans="1:6" x14ac:dyDescent="0.25">
      <c r="A15" s="12" t="s">
        <v>106</v>
      </c>
      <c r="B15" s="13" t="s">
        <v>107</v>
      </c>
      <c r="C15" s="12" t="s">
        <v>95</v>
      </c>
      <c r="D15" s="12">
        <v>0</v>
      </c>
      <c r="E15" s="12">
        <v>0</v>
      </c>
      <c r="F15" s="12">
        <v>0</v>
      </c>
    </row>
    <row r="16" spans="1:6" x14ac:dyDescent="0.25">
      <c r="A16" s="15" t="s">
        <v>108</v>
      </c>
      <c r="B16" s="16" t="s">
        <v>109</v>
      </c>
      <c r="C16" s="15" t="s">
        <v>95</v>
      </c>
      <c r="D16" s="15">
        <v>0</v>
      </c>
      <c r="E16" s="15">
        <v>0</v>
      </c>
      <c r="F16" s="15">
        <v>0</v>
      </c>
    </row>
    <row r="17" spans="1:6" x14ac:dyDescent="0.25">
      <c r="A17" s="12" t="s">
        <v>110</v>
      </c>
      <c r="B17" s="13" t="s">
        <v>111</v>
      </c>
      <c r="C17" s="12" t="s">
        <v>95</v>
      </c>
      <c r="D17" s="12">
        <v>0</v>
      </c>
      <c r="E17" s="12">
        <v>0</v>
      </c>
      <c r="F17" s="12">
        <v>0</v>
      </c>
    </row>
    <row r="18" spans="1:6" x14ac:dyDescent="0.25">
      <c r="A18" s="15" t="s">
        <v>112</v>
      </c>
      <c r="B18" s="16" t="s">
        <v>113</v>
      </c>
      <c r="C18" s="15" t="s">
        <v>86</v>
      </c>
      <c r="D18" s="15">
        <v>0</v>
      </c>
      <c r="E18" s="15">
        <v>0</v>
      </c>
      <c r="F18" s="15">
        <v>1</v>
      </c>
    </row>
    <row r="19" spans="1:6" x14ac:dyDescent="0.25">
      <c r="A19" s="12" t="s">
        <v>114</v>
      </c>
      <c r="B19" s="13" t="s">
        <v>115</v>
      </c>
      <c r="C19" s="12" t="s">
        <v>86</v>
      </c>
      <c r="D19" s="12">
        <v>0</v>
      </c>
      <c r="E19" s="12">
        <v>0</v>
      </c>
      <c r="F19" s="12">
        <v>2</v>
      </c>
    </row>
    <row r="20" spans="1:6" x14ac:dyDescent="0.25">
      <c r="A20" s="15" t="s">
        <v>116</v>
      </c>
      <c r="B20" s="16" t="s">
        <v>117</v>
      </c>
      <c r="C20" s="15" t="s">
        <v>86</v>
      </c>
      <c r="D20" s="15">
        <v>0</v>
      </c>
      <c r="E20" s="15">
        <v>0</v>
      </c>
      <c r="F20" s="15">
        <v>8</v>
      </c>
    </row>
    <row r="21" spans="1:6" x14ac:dyDescent="0.25">
      <c r="A21" s="12" t="s">
        <v>118</v>
      </c>
      <c r="B21" s="13" t="s">
        <v>119</v>
      </c>
      <c r="C21" s="12" t="s">
        <v>86</v>
      </c>
      <c r="D21" s="12">
        <v>0</v>
      </c>
      <c r="E21" s="12">
        <v>0</v>
      </c>
      <c r="F21" s="12">
        <v>10</v>
      </c>
    </row>
    <row r="22" spans="1:6" x14ac:dyDescent="0.25">
      <c r="A22" s="15" t="s">
        <v>120</v>
      </c>
      <c r="B22" s="16" t="s">
        <v>121</v>
      </c>
      <c r="C22" s="15" t="s">
        <v>86</v>
      </c>
      <c r="D22" s="15">
        <v>0</v>
      </c>
      <c r="E22" s="15">
        <v>0</v>
      </c>
      <c r="F22" s="15">
        <v>10</v>
      </c>
    </row>
    <row r="23" spans="1:6" x14ac:dyDescent="0.25">
      <c r="A23" s="12" t="s">
        <v>122</v>
      </c>
      <c r="B23" s="13" t="s">
        <v>123</v>
      </c>
      <c r="C23" s="12" t="s">
        <v>86</v>
      </c>
      <c r="D23" s="12">
        <v>0</v>
      </c>
      <c r="E23" s="12">
        <v>0</v>
      </c>
      <c r="F23" s="12">
        <v>1</v>
      </c>
    </row>
    <row r="24" spans="1:6" x14ac:dyDescent="0.25">
      <c r="A24" s="15" t="s">
        <v>124</v>
      </c>
      <c r="B24" s="16" t="s">
        <v>125</v>
      </c>
      <c r="C24" s="15" t="s">
        <v>95</v>
      </c>
      <c r="D24" s="15">
        <v>0</v>
      </c>
      <c r="E24" s="15">
        <v>0</v>
      </c>
      <c r="F24" s="15">
        <v>0</v>
      </c>
    </row>
    <row r="25" spans="1:6" x14ac:dyDescent="0.25">
      <c r="A25" s="12" t="s">
        <v>126</v>
      </c>
      <c r="B25" s="13" t="s">
        <v>127</v>
      </c>
      <c r="C25" s="12" t="s">
        <v>95</v>
      </c>
      <c r="D25" s="12">
        <v>0</v>
      </c>
      <c r="E25" s="12">
        <v>0</v>
      </c>
      <c r="F25" s="12">
        <v>0</v>
      </c>
    </row>
    <row r="26" spans="1:6" x14ac:dyDescent="0.25">
      <c r="A26" s="15" t="s">
        <v>128</v>
      </c>
      <c r="B26" s="16" t="s">
        <v>129</v>
      </c>
      <c r="C26" s="15" t="s">
        <v>95</v>
      </c>
      <c r="D26" s="15">
        <v>0</v>
      </c>
      <c r="E26" s="15">
        <v>0</v>
      </c>
      <c r="F26" s="15">
        <v>0</v>
      </c>
    </row>
    <row r="27" spans="1:6" x14ac:dyDescent="0.25">
      <c r="A27" s="12" t="s">
        <v>130</v>
      </c>
      <c r="B27" s="13" t="s">
        <v>131</v>
      </c>
      <c r="C27" s="12" t="s">
        <v>95</v>
      </c>
      <c r="D27" s="12">
        <v>0</v>
      </c>
      <c r="E27" s="12">
        <v>0</v>
      </c>
      <c r="F27" s="12">
        <v>0</v>
      </c>
    </row>
    <row r="28" spans="1:6" x14ac:dyDescent="0.25">
      <c r="A28" s="15" t="s">
        <v>132</v>
      </c>
      <c r="B28" s="16" t="s">
        <v>133</v>
      </c>
      <c r="C28" s="15" t="s">
        <v>95</v>
      </c>
      <c r="D28" s="15">
        <v>0</v>
      </c>
      <c r="E28" s="15">
        <v>0</v>
      </c>
      <c r="F28" s="15">
        <v>0</v>
      </c>
    </row>
    <row r="29" spans="1:6" x14ac:dyDescent="0.25">
      <c r="A29" s="12" t="s">
        <v>134</v>
      </c>
      <c r="B29" s="13" t="s">
        <v>135</v>
      </c>
      <c r="C29" s="12" t="s">
        <v>95</v>
      </c>
      <c r="D29" s="12">
        <v>0</v>
      </c>
      <c r="E29" s="12">
        <v>0</v>
      </c>
      <c r="F29" s="12">
        <v>0</v>
      </c>
    </row>
    <row r="30" spans="1:6" x14ac:dyDescent="0.25">
      <c r="A30" s="15" t="s">
        <v>136</v>
      </c>
      <c r="B30" s="16" t="s">
        <v>137</v>
      </c>
      <c r="C30" s="15" t="s">
        <v>95</v>
      </c>
      <c r="D30" s="15">
        <v>0</v>
      </c>
      <c r="E30" s="15">
        <v>0</v>
      </c>
      <c r="F30" s="15">
        <v>0</v>
      </c>
    </row>
    <row r="31" spans="1:6" x14ac:dyDescent="0.25">
      <c r="A31" s="12" t="s">
        <v>138</v>
      </c>
      <c r="B31" s="13" t="s">
        <v>139</v>
      </c>
      <c r="C31" s="12" t="s">
        <v>86</v>
      </c>
      <c r="D31" s="12">
        <v>0</v>
      </c>
      <c r="E31" s="12">
        <v>0</v>
      </c>
      <c r="F31" s="12">
        <v>5</v>
      </c>
    </row>
    <row r="32" spans="1:6" x14ac:dyDescent="0.25">
      <c r="A32" s="15" t="s">
        <v>140</v>
      </c>
      <c r="B32" s="16" t="s">
        <v>141</v>
      </c>
      <c r="C32" s="15" t="s">
        <v>86</v>
      </c>
      <c r="D32" s="15">
        <v>0</v>
      </c>
      <c r="E32" s="15">
        <v>0</v>
      </c>
      <c r="F32" s="15">
        <v>9</v>
      </c>
    </row>
    <row r="33" spans="1:6" x14ac:dyDescent="0.25">
      <c r="A33" s="12" t="s">
        <v>142</v>
      </c>
      <c r="B33" s="13" t="s">
        <v>143</v>
      </c>
      <c r="C33" s="12" t="s">
        <v>95</v>
      </c>
      <c r="D33" s="12">
        <v>0</v>
      </c>
      <c r="E33" s="12">
        <v>0</v>
      </c>
      <c r="F33" s="12">
        <v>0</v>
      </c>
    </row>
    <row r="34" spans="1:6" x14ac:dyDescent="0.25">
      <c r="A34" s="15" t="s">
        <v>144</v>
      </c>
      <c r="B34" s="16" t="s">
        <v>145</v>
      </c>
      <c r="C34" s="15" t="s">
        <v>95</v>
      </c>
      <c r="D34" s="15">
        <v>0</v>
      </c>
      <c r="E34" s="15">
        <v>0</v>
      </c>
      <c r="F34" s="15">
        <v>0</v>
      </c>
    </row>
    <row r="35" spans="1:6" x14ac:dyDescent="0.25">
      <c r="A35" s="12" t="s">
        <v>146</v>
      </c>
      <c r="B35" s="13" t="s">
        <v>147</v>
      </c>
      <c r="C35" s="12" t="s">
        <v>95</v>
      </c>
      <c r="D35" s="12">
        <v>0</v>
      </c>
      <c r="E35" s="12">
        <v>0</v>
      </c>
      <c r="F35" s="12">
        <v>0</v>
      </c>
    </row>
    <row r="36" spans="1:6" x14ac:dyDescent="0.25">
      <c r="A36" s="15" t="s">
        <v>148</v>
      </c>
      <c r="B36" s="16" t="s">
        <v>149</v>
      </c>
      <c r="C36" s="15" t="s">
        <v>95</v>
      </c>
      <c r="D36" s="15">
        <v>0</v>
      </c>
      <c r="E36" s="15">
        <v>0</v>
      </c>
      <c r="F36" s="15">
        <v>0</v>
      </c>
    </row>
    <row r="37" spans="1:6" x14ac:dyDescent="0.25">
      <c r="A37" s="12" t="s">
        <v>150</v>
      </c>
      <c r="B37" s="13" t="s">
        <v>151</v>
      </c>
      <c r="C37" s="12" t="s">
        <v>95</v>
      </c>
      <c r="D37" s="12">
        <v>0</v>
      </c>
      <c r="E37" s="12">
        <v>0</v>
      </c>
      <c r="F37" s="12">
        <v>0</v>
      </c>
    </row>
    <row r="38" spans="1:6" x14ac:dyDescent="0.25">
      <c r="A38" s="15" t="s">
        <v>152</v>
      </c>
      <c r="B38" s="16" t="s">
        <v>153</v>
      </c>
      <c r="C38" s="15" t="s">
        <v>95</v>
      </c>
      <c r="D38" s="15">
        <v>0</v>
      </c>
      <c r="E38" s="15">
        <v>0</v>
      </c>
      <c r="F38" s="15">
        <v>0</v>
      </c>
    </row>
    <row r="39" spans="1:6" x14ac:dyDescent="0.25">
      <c r="A39" s="12" t="s">
        <v>154</v>
      </c>
      <c r="B39" s="13" t="s">
        <v>155</v>
      </c>
      <c r="C39" s="12" t="s">
        <v>86</v>
      </c>
      <c r="D39" s="12">
        <v>0</v>
      </c>
      <c r="E39" s="12">
        <v>0</v>
      </c>
      <c r="F39" s="12">
        <v>10</v>
      </c>
    </row>
    <row r="40" spans="1:6" x14ac:dyDescent="0.25">
      <c r="A40" s="15" t="s">
        <v>156</v>
      </c>
      <c r="B40" s="16" t="s">
        <v>157</v>
      </c>
      <c r="C40" s="15" t="s">
        <v>95</v>
      </c>
      <c r="D40" s="15">
        <v>0</v>
      </c>
      <c r="E40" s="15">
        <v>0</v>
      </c>
      <c r="F40" s="15">
        <v>0</v>
      </c>
    </row>
    <row r="41" spans="1:6" x14ac:dyDescent="0.25">
      <c r="A41" s="12" t="s">
        <v>158</v>
      </c>
      <c r="B41" s="13" t="s">
        <v>159</v>
      </c>
      <c r="C41" s="12" t="s">
        <v>86</v>
      </c>
      <c r="D41" s="12">
        <v>0</v>
      </c>
      <c r="E41" s="12">
        <v>0</v>
      </c>
      <c r="F41" s="12">
        <v>46</v>
      </c>
    </row>
    <row r="42" spans="1:6" x14ac:dyDescent="0.25">
      <c r="A42" s="15" t="s">
        <v>160</v>
      </c>
      <c r="B42" s="16" t="s">
        <v>161</v>
      </c>
      <c r="C42" s="15" t="s">
        <v>86</v>
      </c>
      <c r="D42" s="15">
        <v>0</v>
      </c>
      <c r="E42" s="15">
        <v>0</v>
      </c>
      <c r="F42" s="15">
        <v>1</v>
      </c>
    </row>
    <row r="43" spans="1:6" x14ac:dyDescent="0.25">
      <c r="A43" s="12" t="s">
        <v>162</v>
      </c>
      <c r="B43" s="13" t="s">
        <v>163</v>
      </c>
      <c r="C43" s="12" t="s">
        <v>95</v>
      </c>
      <c r="D43" s="12">
        <v>0</v>
      </c>
      <c r="E43" s="12">
        <v>0</v>
      </c>
      <c r="F43" s="12">
        <v>0</v>
      </c>
    </row>
    <row r="44" spans="1:6" x14ac:dyDescent="0.25">
      <c r="A44" s="15" t="s">
        <v>164</v>
      </c>
      <c r="B44" s="16" t="s">
        <v>165</v>
      </c>
      <c r="C44" s="15" t="s">
        <v>86</v>
      </c>
      <c r="D44" s="15">
        <v>0</v>
      </c>
      <c r="E44" s="15">
        <v>0</v>
      </c>
      <c r="F44" s="15">
        <v>1</v>
      </c>
    </row>
    <row r="45" spans="1:6" x14ac:dyDescent="0.25">
      <c r="A45" s="12" t="s">
        <v>166</v>
      </c>
      <c r="B45" s="13" t="s">
        <v>167</v>
      </c>
      <c r="C45" s="12" t="s">
        <v>86</v>
      </c>
      <c r="D45" s="12">
        <v>0</v>
      </c>
      <c r="E45" s="12">
        <v>0</v>
      </c>
      <c r="F45" s="12">
        <v>1</v>
      </c>
    </row>
    <row r="46" spans="1:6" x14ac:dyDescent="0.25">
      <c r="A46" s="15" t="s">
        <v>168</v>
      </c>
      <c r="B46" s="16" t="s">
        <v>169</v>
      </c>
      <c r="C46" s="15" t="s">
        <v>95</v>
      </c>
      <c r="D46" s="15">
        <v>0</v>
      </c>
      <c r="E46" s="15">
        <v>0</v>
      </c>
      <c r="F46" s="15">
        <v>0</v>
      </c>
    </row>
    <row r="47" spans="1:6" x14ac:dyDescent="0.25">
      <c r="A47" s="12" t="s">
        <v>170</v>
      </c>
      <c r="B47" s="13" t="s">
        <v>171</v>
      </c>
      <c r="C47" s="12" t="s">
        <v>86</v>
      </c>
      <c r="D47" s="12">
        <v>0</v>
      </c>
      <c r="E47" s="12">
        <v>0</v>
      </c>
      <c r="F47" s="12">
        <v>11</v>
      </c>
    </row>
    <row r="48" spans="1:6" x14ac:dyDescent="0.25">
      <c r="A48" s="15" t="s">
        <v>172</v>
      </c>
      <c r="B48" s="16" t="s">
        <v>173</v>
      </c>
      <c r="C48" s="15" t="s">
        <v>86</v>
      </c>
      <c r="D48" s="15">
        <v>0</v>
      </c>
      <c r="E48" s="15">
        <v>0</v>
      </c>
      <c r="F48" s="15">
        <v>15</v>
      </c>
    </row>
    <row r="49" spans="1:6" x14ac:dyDescent="0.25">
      <c r="A49" s="12" t="s">
        <v>174</v>
      </c>
      <c r="B49" s="13" t="s">
        <v>175</v>
      </c>
      <c r="C49" s="12" t="s">
        <v>86</v>
      </c>
      <c r="D49" s="12">
        <v>0</v>
      </c>
      <c r="E49" s="12">
        <v>0</v>
      </c>
      <c r="F49" s="12">
        <v>1</v>
      </c>
    </row>
    <row r="50" spans="1:6" x14ac:dyDescent="0.25">
      <c r="A50" s="15" t="s">
        <v>176</v>
      </c>
      <c r="B50" s="16" t="s">
        <v>177</v>
      </c>
      <c r="C50" s="15" t="s">
        <v>86</v>
      </c>
      <c r="D50" s="15">
        <v>0</v>
      </c>
      <c r="E50" s="15">
        <v>0</v>
      </c>
      <c r="F50" s="15">
        <v>3</v>
      </c>
    </row>
    <row r="51" spans="1:6" x14ac:dyDescent="0.25">
      <c r="A51" s="12" t="s">
        <v>178</v>
      </c>
      <c r="B51" s="13" t="s">
        <v>179</v>
      </c>
      <c r="C51" s="12" t="s">
        <v>86</v>
      </c>
      <c r="D51" s="12">
        <v>0</v>
      </c>
      <c r="E51" s="12">
        <v>0</v>
      </c>
      <c r="F51" s="12">
        <v>45</v>
      </c>
    </row>
    <row r="52" spans="1:6" x14ac:dyDescent="0.25">
      <c r="A52" s="15" t="s">
        <v>180</v>
      </c>
      <c r="B52" s="16" t="s">
        <v>181</v>
      </c>
      <c r="C52" s="15" t="s">
        <v>86</v>
      </c>
      <c r="D52" s="15">
        <v>0</v>
      </c>
      <c r="E52" s="15">
        <v>0</v>
      </c>
      <c r="F52" s="15">
        <v>1</v>
      </c>
    </row>
    <row r="53" spans="1:6" x14ac:dyDescent="0.25">
      <c r="A53" s="12" t="s">
        <v>182</v>
      </c>
      <c r="B53" s="13" t="s">
        <v>183</v>
      </c>
      <c r="C53" s="12" t="s">
        <v>86</v>
      </c>
      <c r="D53" s="12">
        <v>0</v>
      </c>
      <c r="E53" s="12">
        <v>0</v>
      </c>
      <c r="F53" s="12">
        <v>14</v>
      </c>
    </row>
    <row r="54" spans="1:6" x14ac:dyDescent="0.25">
      <c r="A54" s="15" t="s">
        <v>184</v>
      </c>
      <c r="B54" s="16" t="s">
        <v>185</v>
      </c>
      <c r="C54" s="15" t="s">
        <v>86</v>
      </c>
      <c r="D54" s="15">
        <v>0</v>
      </c>
      <c r="E54" s="15">
        <v>0</v>
      </c>
      <c r="F54" s="15">
        <v>25</v>
      </c>
    </row>
    <row r="55" spans="1:6" x14ac:dyDescent="0.25">
      <c r="A55" s="12" t="s">
        <v>186</v>
      </c>
      <c r="B55" s="13" t="s">
        <v>187</v>
      </c>
      <c r="C55" s="12" t="s">
        <v>95</v>
      </c>
      <c r="D55" s="12">
        <v>0</v>
      </c>
      <c r="E55" s="12">
        <v>0</v>
      </c>
      <c r="F55" s="12">
        <v>0</v>
      </c>
    </row>
    <row r="56" spans="1:6" x14ac:dyDescent="0.25">
      <c r="A56" s="15" t="s">
        <v>188</v>
      </c>
      <c r="B56" s="16" t="s">
        <v>189</v>
      </c>
      <c r="C56" s="15" t="s">
        <v>95</v>
      </c>
      <c r="D56" s="15">
        <v>0</v>
      </c>
      <c r="E56" s="15">
        <v>0</v>
      </c>
      <c r="F56" s="15">
        <v>0</v>
      </c>
    </row>
    <row r="57" spans="1:6" x14ac:dyDescent="0.25">
      <c r="A57" s="12" t="s">
        <v>190</v>
      </c>
      <c r="B57" s="13" t="s">
        <v>191</v>
      </c>
      <c r="C57" s="12" t="s">
        <v>86</v>
      </c>
      <c r="D57" s="12">
        <v>0</v>
      </c>
      <c r="E57" s="12">
        <v>0</v>
      </c>
      <c r="F57" s="12">
        <v>11</v>
      </c>
    </row>
    <row r="58" spans="1:6" x14ac:dyDescent="0.25">
      <c r="A58" s="15" t="s">
        <v>192</v>
      </c>
      <c r="B58" s="16" t="s">
        <v>193</v>
      </c>
      <c r="C58" s="15" t="s">
        <v>95</v>
      </c>
      <c r="D58" s="15">
        <v>0</v>
      </c>
      <c r="E58" s="15">
        <v>0</v>
      </c>
      <c r="F58" s="15">
        <v>0</v>
      </c>
    </row>
    <row r="59" spans="1:6" x14ac:dyDescent="0.25">
      <c r="A59" s="12" t="s">
        <v>194</v>
      </c>
      <c r="B59" s="13" t="s">
        <v>195</v>
      </c>
      <c r="C59" s="12" t="s">
        <v>95</v>
      </c>
      <c r="D59" s="12">
        <v>0</v>
      </c>
      <c r="E59" s="12">
        <v>0</v>
      </c>
      <c r="F59" s="12">
        <v>0</v>
      </c>
    </row>
    <row r="60" spans="1:6" x14ac:dyDescent="0.25">
      <c r="A60" s="15" t="s">
        <v>196</v>
      </c>
      <c r="B60" s="16" t="s">
        <v>197</v>
      </c>
      <c r="C60" s="15" t="s">
        <v>95</v>
      </c>
      <c r="D60" s="15">
        <v>0</v>
      </c>
      <c r="E60" s="15">
        <v>0</v>
      </c>
      <c r="F60" s="15">
        <v>0</v>
      </c>
    </row>
    <row r="61" spans="1:6" x14ac:dyDescent="0.25">
      <c r="A61" s="12" t="s">
        <v>198</v>
      </c>
      <c r="B61" s="13" t="s">
        <v>199</v>
      </c>
      <c r="C61" s="12" t="s">
        <v>86</v>
      </c>
      <c r="D61" s="12">
        <v>0</v>
      </c>
      <c r="E61" s="12">
        <v>0</v>
      </c>
      <c r="F61" s="12">
        <v>14</v>
      </c>
    </row>
    <row r="62" spans="1:6" x14ac:dyDescent="0.25">
      <c r="A62" s="15" t="s">
        <v>200</v>
      </c>
      <c r="B62" s="16" t="s">
        <v>201</v>
      </c>
      <c r="C62" s="15" t="s">
        <v>86</v>
      </c>
      <c r="D62" s="15">
        <v>0</v>
      </c>
      <c r="E62" s="15">
        <v>0</v>
      </c>
      <c r="F62" s="15">
        <v>1</v>
      </c>
    </row>
    <row r="63" spans="1:6" x14ac:dyDescent="0.25">
      <c r="A63" s="12" t="s">
        <v>202</v>
      </c>
      <c r="B63" s="13" t="s">
        <v>203</v>
      </c>
      <c r="C63" s="12" t="s">
        <v>86</v>
      </c>
      <c r="D63" s="12">
        <v>0</v>
      </c>
      <c r="E63" s="12">
        <v>0</v>
      </c>
      <c r="F63" s="12">
        <v>1</v>
      </c>
    </row>
    <row r="64" spans="1:6" x14ac:dyDescent="0.25">
      <c r="A64" s="15" t="s">
        <v>204</v>
      </c>
      <c r="B64" s="16" t="s">
        <v>205</v>
      </c>
      <c r="C64" s="15" t="s">
        <v>86</v>
      </c>
      <c r="D64" s="15">
        <v>0</v>
      </c>
      <c r="E64" s="15">
        <v>0</v>
      </c>
      <c r="F64" s="15">
        <v>2</v>
      </c>
    </row>
    <row r="65" spans="1:6" x14ac:dyDescent="0.25">
      <c r="A65" s="12" t="s">
        <v>206</v>
      </c>
      <c r="B65" s="13" t="s">
        <v>207</v>
      </c>
      <c r="C65" s="12" t="s">
        <v>95</v>
      </c>
      <c r="D65" s="12">
        <v>0</v>
      </c>
      <c r="E65" s="12">
        <v>0</v>
      </c>
      <c r="F65" s="12">
        <v>0</v>
      </c>
    </row>
    <row r="66" spans="1:6" x14ac:dyDescent="0.25">
      <c r="A66" s="15" t="s">
        <v>208</v>
      </c>
      <c r="B66" s="16" t="s">
        <v>209</v>
      </c>
      <c r="C66" s="15" t="s">
        <v>95</v>
      </c>
      <c r="D66" s="15">
        <v>0</v>
      </c>
      <c r="E66" s="15">
        <v>0</v>
      </c>
      <c r="F66" s="15">
        <v>0</v>
      </c>
    </row>
    <row r="67" spans="1:6" x14ac:dyDescent="0.25">
      <c r="A67" s="12" t="s">
        <v>210</v>
      </c>
      <c r="B67" s="13" t="s">
        <v>211</v>
      </c>
      <c r="C67" s="12" t="s">
        <v>95</v>
      </c>
      <c r="D67" s="12">
        <v>0</v>
      </c>
      <c r="E67" s="12">
        <v>0</v>
      </c>
      <c r="F67" s="12">
        <v>0</v>
      </c>
    </row>
    <row r="68" spans="1:6" x14ac:dyDescent="0.25">
      <c r="A68" s="15" t="s">
        <v>212</v>
      </c>
      <c r="B68" s="16" t="s">
        <v>213</v>
      </c>
      <c r="C68" s="15" t="s">
        <v>95</v>
      </c>
      <c r="D68" s="15">
        <v>0</v>
      </c>
      <c r="E68" s="15">
        <v>0</v>
      </c>
      <c r="F68" s="15">
        <v>0</v>
      </c>
    </row>
    <row r="69" spans="1:6" x14ac:dyDescent="0.25">
      <c r="A69" s="12" t="s">
        <v>214</v>
      </c>
      <c r="B69" s="13" t="s">
        <v>215</v>
      </c>
      <c r="C69" s="12" t="s">
        <v>95</v>
      </c>
      <c r="D69" s="12">
        <v>0</v>
      </c>
      <c r="E69" s="12">
        <v>0</v>
      </c>
      <c r="F69" s="12">
        <v>0</v>
      </c>
    </row>
    <row r="70" spans="1:6" x14ac:dyDescent="0.25">
      <c r="A70" s="15" t="s">
        <v>216</v>
      </c>
      <c r="B70" s="16" t="s">
        <v>217</v>
      </c>
      <c r="C70" s="15" t="s">
        <v>86</v>
      </c>
      <c r="D70" s="15">
        <v>0</v>
      </c>
      <c r="E70" s="15">
        <v>0</v>
      </c>
      <c r="F70" s="15">
        <v>1</v>
      </c>
    </row>
    <row r="71" spans="1:6" x14ac:dyDescent="0.25">
      <c r="A71" s="12" t="s">
        <v>218</v>
      </c>
      <c r="B71" s="13" t="s">
        <v>219</v>
      </c>
      <c r="C71" s="12" t="s">
        <v>86</v>
      </c>
      <c r="D71" s="12">
        <v>0</v>
      </c>
      <c r="E71" s="12">
        <v>0</v>
      </c>
      <c r="F71" s="12">
        <v>3</v>
      </c>
    </row>
  </sheetData>
  <autoFilter ref="A4:F71"/>
  <mergeCells count="1">
    <mergeCell ref="A2:F2"/>
  </mergeCells>
  <hyperlinks>
    <hyperlink ref="B5" r:id="rId1" tooltip="https://alfa.siteimprove.com/rules/sia-r1"/>
    <hyperlink ref="B6" r:id="rId2" tooltip="https://alfa.siteimprove.com/rules/sia-r2"/>
    <hyperlink ref="B7" r:id="rId3" tooltip="https://alfa.siteimprove.com/rules/sia-r4"/>
    <hyperlink ref="B8" r:id="rId4" tooltip="https://alfa.siteimprove.com/rules/sia-r5"/>
    <hyperlink ref="B9" r:id="rId5" tooltip="https://alfa.siteimprove.com/rules/sia-r7"/>
    <hyperlink ref="B10" r:id="rId6" tooltip="https://alfa.siteimprove.com/rules/sia-r8"/>
    <hyperlink ref="B11" r:id="rId7" tooltip="https://alfa.siteimprove.com/rules/sia-r9"/>
    <hyperlink ref="B12" r:id="rId8" tooltip="https://alfa.siteimprove.com/rules/sia-r10"/>
    <hyperlink ref="B13" r:id="rId9" tooltip="https://alfa.siteimprove.com/rules/sia-r11"/>
    <hyperlink ref="B14" r:id="rId10" tooltip="https://alfa.siteimprove.com/rules/sia-r12"/>
    <hyperlink ref="B15" r:id="rId11" tooltip="https://alfa.siteimprove.com/rules/sia-r13"/>
    <hyperlink ref="B16" r:id="rId12" tooltip="https://alfa.siteimprove.com/rules/sia-r14"/>
    <hyperlink ref="B17" r:id="rId13" tooltip="https://alfa.siteimprove.com/rules/sia-r15"/>
    <hyperlink ref="B18" r:id="rId14" tooltip="https://alfa.siteimprove.com/rules/sia-r16"/>
    <hyperlink ref="B19" r:id="rId15" tooltip="https://alfa.siteimprove.com/rules/sia-r17"/>
    <hyperlink ref="B20" r:id="rId16" tooltip="https://alfa.siteimprove.com/rules/sia-r18"/>
    <hyperlink ref="B21" r:id="rId17" tooltip="https://alfa.siteimprove.com/rules/sia-r19"/>
    <hyperlink ref="B22" r:id="rId18" tooltip="https://alfa.siteimprove.com/rules/sia-r20"/>
    <hyperlink ref="B23" r:id="rId19" tooltip="https://alfa.siteimprove.com/rules/sia-r21"/>
    <hyperlink ref="B24" r:id="rId20" tooltip="https://alfa.siteimprove.com/rules/sia-r27"/>
    <hyperlink ref="B25" r:id="rId21" tooltip="https://alfa.siteimprove.com/rules/sia-r28"/>
    <hyperlink ref="B26" r:id="rId22" tooltip="https://alfa.siteimprove.com/rules/sia-r30"/>
    <hyperlink ref="B27" r:id="rId23" tooltip="https://alfa.siteimprove.com/rules/sia-r35"/>
    <hyperlink ref="B28" r:id="rId24" tooltip="https://alfa.siteimprove.com/rules/sia-r37"/>
    <hyperlink ref="B29" r:id="rId25" tooltip="https://alfa.siteimprove.com/rules/sia-r38"/>
    <hyperlink ref="B30" r:id="rId26" tooltip="https://alfa.siteimprove.com/rules/sia-r39"/>
    <hyperlink ref="B31" r:id="rId27" tooltip="https://alfa.siteimprove.com/rules/sia-r40"/>
    <hyperlink ref="B32" r:id="rId28" tooltip="https://alfa.siteimprove.com/rules/sia-r42"/>
    <hyperlink ref="B33" r:id="rId29" tooltip="https://alfa.siteimprove.com/rules/sia-r43"/>
    <hyperlink ref="B34" r:id="rId30" tooltip="https://alfa.siteimprove.com/rules/sia-r44"/>
    <hyperlink ref="B35" r:id="rId31" tooltip="https://alfa.siteimprove.com/rules/sia-r45"/>
    <hyperlink ref="B36" r:id="rId32" tooltip="https://alfa.siteimprove.com/rules/sia-r46"/>
    <hyperlink ref="B37" r:id="rId33" tooltip="https://alfa.siteimprove.com/rules/sia-r47"/>
    <hyperlink ref="B38" r:id="rId34" tooltip="https://alfa.siteimprove.com/rules/sia-r50"/>
    <hyperlink ref="B39" r:id="rId35" tooltip="https://alfa.siteimprove.com/rules/sia-r53"/>
    <hyperlink ref="B40" r:id="rId36" tooltip="https://alfa.siteimprove.com/rules/sia-r55"/>
    <hyperlink ref="B41" r:id="rId37" tooltip="https://alfa.siteimprove.com/rules/sia-r57"/>
    <hyperlink ref="B42" r:id="rId38" tooltip="https://alfa.siteimprove.com/rules/sia-r59"/>
    <hyperlink ref="B43" r:id="rId39" tooltip="https://alfa.siteimprove.com/rules/sia-r60"/>
    <hyperlink ref="B44" r:id="rId40" tooltip="https://alfa.siteimprove.com/rules/sia-r61"/>
    <hyperlink ref="B45" r:id="rId41" tooltip="https://alfa.siteimprove.com/rules/sia-r62"/>
    <hyperlink ref="B46" r:id="rId42" tooltip="https://alfa.siteimprove.com/rules/sia-r63"/>
    <hyperlink ref="B47" r:id="rId43" tooltip="https://alfa.siteimprove.com/rules/sia-r64"/>
    <hyperlink ref="B48" r:id="rId44" tooltip="https://alfa.siteimprove.com/rules/sia-r65"/>
    <hyperlink ref="B49" r:id="rId45" tooltip="https://alfa.siteimprove.com/rules/sia-r67"/>
    <hyperlink ref="B50" r:id="rId46" tooltip="https://alfa.siteimprove.com/rules/sia-r68"/>
    <hyperlink ref="B51" r:id="rId47" tooltip="https://alfa.siteimprove.com/rules/sia-r69"/>
    <hyperlink ref="B52" r:id="rId48" tooltip="https://alfa.siteimprove.com/rules/sia-r70"/>
    <hyperlink ref="B53" r:id="rId49" tooltip="https://alfa.siteimprove.com/rules/sia-r72"/>
    <hyperlink ref="B54" r:id="rId50" tooltip="https://alfa.siteimprove.com/rules/sia-r75"/>
    <hyperlink ref="B55" r:id="rId51" tooltip="https://alfa.siteimprove.com/rules/sia-r76"/>
    <hyperlink ref="B56" r:id="rId52" tooltip="https://alfa.siteimprove.com/rules/sia-r77"/>
    <hyperlink ref="B57" r:id="rId53" tooltip="https://alfa.siteimprove.com/rules/sia-r78"/>
    <hyperlink ref="B58" r:id="rId54" tooltip="https://alfa.siteimprove.com/rules/sia-r79"/>
    <hyperlink ref="B59" r:id="rId55" tooltip="https://alfa.siteimprove.com/rules/sia-r81"/>
    <hyperlink ref="B60" r:id="rId56" tooltip="https://alfa.siteimprove.com/rules/sia-r84"/>
    <hyperlink ref="B61" r:id="rId57" tooltip="https://alfa.siteimprove.com/rules/sia-r85"/>
    <hyperlink ref="B62" r:id="rId58" tooltip="https://alfa.siteimprove.com/rules/sia-r86"/>
    <hyperlink ref="B63" r:id="rId59" tooltip="https://alfa.siteimprove.com/rules/sia-r87"/>
    <hyperlink ref="B64" r:id="rId60" tooltip="https://alfa.siteimprove.com/rules/sia-r90"/>
    <hyperlink ref="B65" r:id="rId61" tooltip="https://alfa.siteimprove.com/rules/sia-r91"/>
    <hyperlink ref="B66" r:id="rId62" tooltip="https://alfa.siteimprove.com/rules/sia-r92"/>
    <hyperlink ref="B67" r:id="rId63" tooltip="https://alfa.siteimprove.com/rules/sia-r93"/>
    <hyperlink ref="B68" r:id="rId64" tooltip="https://alfa.siteimprove.com/rules/sia-r94"/>
    <hyperlink ref="B69" r:id="rId65" tooltip="https://alfa.siteimprove.com/rules/sia-r95"/>
    <hyperlink ref="B70" r:id="rId66" tooltip="https://alfa.siteimprove.com/rules/sia-r110"/>
    <hyperlink ref="B71" r:id="rId67" tooltip="https://alfa.siteimprove.com/rules/sia-r116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"/>
  <sheetViews>
    <sheetView workbookViewId="0" showGridLines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42" customWidth="1"/>
    <col min="2" max="2" width="92" customWidth="1"/>
    <col min="3" max="3" width="18" customWidth="1"/>
  </cols>
  <sheetData>
    <row r="1" spans="1:1" x14ac:dyDescent="0.25">
      <c r="A1" s="1" t="s">
        <v>220</v>
      </c>
    </row>
    <row r="2" ht="30" customHeight="1" spans="1:3" x14ac:dyDescent="0.25">
      <c r="A2" s="14" t="s">
        <v>221</v>
      </c>
      <c r="B2" s="14"/>
      <c r="C2" s="14"/>
    </row>
    <row r="4" ht="22" customHeight="1" spans="1:3" x14ac:dyDescent="0.25">
      <c r="A4" s="11" t="s">
        <v>222</v>
      </c>
      <c r="B4" s="11" t="s">
        <v>223</v>
      </c>
      <c r="C4" s="11" t="s">
        <v>224</v>
      </c>
    </row>
    <row r="5" spans="1:3" x14ac:dyDescent="0.25">
      <c r="A5" s="17" t="s">
        <v>225</v>
      </c>
      <c r="B5" s="17"/>
      <c r="C5" s="17"/>
    </row>
  </sheetData>
  <autoFilter ref="A4:C5"/>
  <mergeCells count="2">
    <mergeCell ref="A2:C2"/>
    <mergeCell ref="A5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"/>
  <sheetViews>
    <sheetView workbookViewId="0" showGridLines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22" customWidth="1"/>
    <col min="2" max="2" width="40" customWidth="1"/>
    <col min="3" max="3" width="20" customWidth="1"/>
    <col min="4" max="4" width="50" customWidth="1"/>
    <col min="5" max="6" width="52" customWidth="1"/>
    <col min="7" max="7" width="46" customWidth="1"/>
  </cols>
  <sheetData>
    <row r="1" spans="1:1" x14ac:dyDescent="0.25">
      <c r="A1" s="1" t="s">
        <v>226</v>
      </c>
    </row>
    <row r="2" ht="30" customHeight="1" spans="1:7" x14ac:dyDescent="0.25">
      <c r="A2" s="14" t="s">
        <v>227</v>
      </c>
      <c r="B2" s="14"/>
      <c r="C2" s="14"/>
      <c r="D2" s="14"/>
      <c r="E2" s="14"/>
      <c r="F2" s="14"/>
      <c r="G2" s="14"/>
    </row>
    <row r="4" ht="22" customHeight="1" spans="1:7" x14ac:dyDescent="0.25">
      <c r="A4" s="11" t="s">
        <v>63</v>
      </c>
      <c r="B4" s="11" t="s">
        <v>228</v>
      </c>
      <c r="C4" s="11" t="s">
        <v>229</v>
      </c>
      <c r="D4" s="11" t="s">
        <v>230</v>
      </c>
      <c r="E4" s="11" t="s">
        <v>231</v>
      </c>
      <c r="F4" s="11" t="s">
        <v>232</v>
      </c>
      <c r="G4" s="11" t="s">
        <v>233</v>
      </c>
    </row>
    <row r="5" spans="1:7" x14ac:dyDescent="0.25">
      <c r="A5" s="17" t="s">
        <v>234</v>
      </c>
      <c r="B5" s="17"/>
      <c r="C5" s="17"/>
      <c r="D5" s="17"/>
      <c r="E5" s="17"/>
      <c r="F5" s="17"/>
      <c r="G5" s="17"/>
    </row>
  </sheetData>
  <autoFilter ref="A4:G5"/>
  <mergeCells count="2">
    <mergeCell ref="A2:G2"/>
    <mergeCell ref="A5:G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Summary</vt:lpstr>
      <vt:lpstr>Issues Overview</vt:lpstr>
      <vt:lpstr>Owner Worklist</vt:lpstr>
      <vt:lpstr>Page Hotspots</vt:lpstr>
      <vt:lpstr>Page References</vt:lpstr>
      <vt:lpstr>Who's Affected</vt:lpstr>
      <vt:lpstr>Coverage &amp; Method</vt:lpstr>
      <vt:lpstr>Test Tracking</vt:lpstr>
      <vt:lpstr>Manual Review Evidence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Accessibility CI</dc:creator>
  <dc:title/>
  <dc:subject/>
  <dc:description/>
  <cp:keywords/>
  <cp:category/>
  <cp:lastModifiedBy>Unknown</cp:lastModifiedBy>
  <dcterms:created xsi:type="dcterms:W3CDTF">2026-07-22T17:05:42Z</dcterms:created>
  <dcterms:modified xsi:type="dcterms:W3CDTF">2026-07-22T17:05:42Z</dcterms:modified>
</cp:coreProperties>
</file>